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esults" sheetId="2" state="visible" r:id="rId2"/>
    <sheet name="Interaction Dia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/>
      <right/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 style="thin">
        <color rgb="00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P-M Interaction Diagrams</a:t>
            </a:r>
          </a:p>
        </rich>
      </tx>
    </title>
    <plotArea>
      <scatterChart>
        <ser>
          <idx val="0"/>
          <order val="0"/>
          <tx>
            <v>C1 – Rect. Tied (Short) – Capacity</v>
          </tx>
          <spPr>
            <a:ln w="18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'Interaction Diagram'!$A$4:$A$64</f>
            </numRef>
          </xVal>
          <yVal>
            <numRef>
              <f>'Interaction Diagram'!$B$4:$B$64</f>
            </numRef>
          </yVal>
        </ser>
        <ser>
          <idx val="1"/>
          <order val="1"/>
          <tx>
            <v>C1 – Rect. Tied (Short) – Demand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'Interaction Diagram'!$A$67</f>
            </numRef>
          </xVal>
          <yVal>
            <numRef>
              <f>'Interaction Diagram'!$B$67</f>
            </numRef>
          </yVal>
        </ser>
        <ser>
          <idx val="2"/>
          <order val="2"/>
          <tx>
            <v>C2 – Rect. Tied (Slender) – Capacity</v>
          </tx>
          <spPr>
            <a:ln w="18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'Interaction Diagram'!$D$4:$D$64</f>
            </numRef>
          </xVal>
          <yVal>
            <numRef>
              <f>'Interaction Diagram'!$E$4:$E$64</f>
            </numRef>
          </yVal>
        </ser>
        <ser>
          <idx val="3"/>
          <order val="3"/>
          <tx>
            <v>C2 – Rect. Tied (Slender) – Demand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'Interaction Diagram'!$D$67</f>
            </numRef>
          </xVal>
          <yVal>
            <numRef>
              <f>'Interaction Diagram'!$E$67</f>
            </numRef>
          </yVal>
        </ser>
        <ser>
          <idx val="4"/>
          <order val="4"/>
          <tx>
            <v>C3 – Circular Spiral – Capacity</v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'Interaction Diagram'!$G$4:$G$63</f>
            </numRef>
          </xVal>
          <yVal>
            <numRef>
              <f>'Interaction Diagram'!$H$4:$H$63</f>
            </numRef>
          </yVal>
        </ser>
        <ser>
          <idx val="5"/>
          <order val="5"/>
          <tx>
            <v>C3 – Circular Spiral – Demand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'Interaction Diagram'!$G$66</f>
            </numRef>
          </xVal>
          <yVal>
            <numRef>
              <f>'Interaction Diagram'!$H$66</f>
            </numRef>
          </yVal>
        </ser>
        <ser>
          <idx val="6"/>
          <order val="6"/>
          <tx>
            <v>C4 – Rect. Pure Compression – Capacity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'Interaction Diagram'!$J$4:$J$64</f>
            </numRef>
          </xVal>
          <yVal>
            <numRef>
              <f>'Interaction Diagram'!$K$4:$K$64</f>
            </numRef>
          </yVal>
        </ser>
        <ser>
          <idx val="7"/>
          <order val="7"/>
          <tx>
            <v>C4 – Rect. Pure Compression – Demand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'Interaction Diagram'!$J$67</f>
            </numRef>
          </xVal>
          <yVal>
            <numRef>
              <f>'Interaction Diagram'!$K$67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φMn  (kip·ft)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φPn  (kips)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22" customWidth="1" min="4" max="4"/>
    <col width="14" customWidth="1" min="5" max="5"/>
    <col width="10" customWidth="1" min="6" max="6"/>
    <col width="4" customWidth="1" min="7" max="7"/>
  </cols>
  <sheetData>
    <row r="1" ht="30" customHeight="1">
      <c r="A1" s="1" t="inlineStr">
        <is>
          <t>RC Column Design — ACI 318-19  |  Input Parameters</t>
        </is>
      </c>
    </row>
    <row r="2">
      <c r="A2" s="2" t="inlineStr">
        <is>
          <t>All forces in lb and lb·in (or kips / kip·ft)  |  All dimensions in inches  |  Stresses in psi</t>
        </is>
      </c>
    </row>
    <row r="3" ht="18" customHeight="1">
      <c r="A3" s="3" t="inlineStr">
        <is>
          <t xml:space="preserve">  C1 – Rect. Tied (Short)  —  GEOMETRY</t>
        </is>
      </c>
      <c r="D3" s="3" t="inlineStr">
        <is>
          <t xml:space="preserve">  C2 – Rect. Tied (Slender)  —  GEOMETRY</t>
        </is>
      </c>
    </row>
    <row r="4" ht="16" customHeight="1">
      <c r="A4" s="4" t="inlineStr">
        <is>
          <t>Section type</t>
        </is>
      </c>
      <c r="B4" s="5" t="inlineStr">
        <is>
          <t>rectangular</t>
        </is>
      </c>
      <c r="C4" s="6" t="inlineStr">
        <is>
          <t>rectangular / circular</t>
        </is>
      </c>
      <c r="D4" s="4" t="inlineStr">
        <is>
          <t>Section type</t>
        </is>
      </c>
      <c r="E4" s="5" t="inlineStr">
        <is>
          <t>rectangular</t>
        </is>
      </c>
      <c r="F4" s="6" t="inlineStr">
        <is>
          <t>rectangular / circular</t>
        </is>
      </c>
    </row>
    <row r="5" ht="16" customHeight="1">
      <c r="A5" s="4" t="inlineStr">
        <is>
          <t>Width b  (or diameter D for circular)</t>
        </is>
      </c>
      <c r="B5" s="5" t="n">
        <v>16</v>
      </c>
      <c r="C5" s="6" t="inlineStr">
        <is>
          <t>in</t>
        </is>
      </c>
      <c r="D5" s="4" t="inlineStr">
        <is>
          <t>Width b  (or diameter D for circular)</t>
        </is>
      </c>
      <c r="E5" s="5" t="n">
        <v>12</v>
      </c>
      <c r="F5" s="6" t="inlineStr">
        <is>
          <t>in</t>
        </is>
      </c>
    </row>
    <row r="6" ht="16" customHeight="1">
      <c r="A6" s="4" t="inlineStr">
        <is>
          <t>Depth h  (rectangular only)</t>
        </is>
      </c>
      <c r="B6" s="5" t="n">
        <v>20</v>
      </c>
      <c r="C6" s="6" t="inlineStr">
        <is>
          <t>in</t>
        </is>
      </c>
      <c r="D6" s="4" t="inlineStr">
        <is>
          <t>Depth h  (rectangular only)</t>
        </is>
      </c>
      <c r="E6" s="5" t="n">
        <v>12</v>
      </c>
      <c r="F6" s="6" t="inlineStr">
        <is>
          <t>in</t>
        </is>
      </c>
    </row>
    <row r="7" ht="16" customHeight="1">
      <c r="A7" s="4" t="inlineStr">
        <is>
          <t>Unsupported length Lu</t>
        </is>
      </c>
      <c r="B7" s="5" t="n">
        <v>120</v>
      </c>
      <c r="C7" s="6" t="inlineStr">
        <is>
          <t>in</t>
        </is>
      </c>
      <c r="D7" s="4" t="inlineStr">
        <is>
          <t>Unsupported length Lu</t>
        </is>
      </c>
      <c r="E7" s="5" t="n">
        <v>240</v>
      </c>
      <c r="F7" s="6" t="inlineStr">
        <is>
          <t>in</t>
        </is>
      </c>
    </row>
    <row r="8" ht="16" customHeight="1">
      <c r="A8" s="4" t="inlineStr">
        <is>
          <t>Effective length factor k</t>
        </is>
      </c>
      <c r="B8" s="5" t="n">
        <v>1</v>
      </c>
      <c r="C8" s="6" t="inlineStr">
        <is>
          <t>—</t>
        </is>
      </c>
      <c r="D8" s="4" t="inlineStr">
        <is>
          <t>Effective length factor k</t>
        </is>
      </c>
      <c r="E8" s="5" t="n">
        <v>1</v>
      </c>
      <c r="F8" s="6" t="inlineStr">
        <is>
          <t>—</t>
        </is>
      </c>
    </row>
    <row r="9" ht="16" customHeight="1">
      <c r="A9" s="4" t="inlineStr">
        <is>
          <t>Frame type</t>
        </is>
      </c>
      <c r="B9" s="5" t="inlineStr">
        <is>
          <t>Braced</t>
        </is>
      </c>
      <c r="C9" s="6" t="inlineStr">
        <is>
          <t>braced / unbraced</t>
        </is>
      </c>
      <c r="D9" s="4" t="inlineStr">
        <is>
          <t>Frame type</t>
        </is>
      </c>
      <c r="E9" s="5" t="inlineStr">
        <is>
          <t>Braced</t>
        </is>
      </c>
      <c r="F9" s="6" t="inlineStr">
        <is>
          <t>braced / unbraced</t>
        </is>
      </c>
    </row>
    <row r="10" ht="18" customHeight="1">
      <c r="A10" s="3" t="inlineStr">
        <is>
          <t xml:space="preserve">  C1 – Rect. Tied (Short)  —  MATERIALS</t>
        </is>
      </c>
      <c r="D10" s="3" t="inlineStr">
        <is>
          <t xml:space="preserve">  C2 – Rect. Tied (Slender)  —  MATERIALS</t>
        </is>
      </c>
    </row>
    <row r="11" ht="16" customHeight="1">
      <c r="A11" s="4" t="inlineStr">
        <is>
          <t>Concrete  f'c</t>
        </is>
      </c>
      <c r="B11" s="5" t="n">
        <v>4000</v>
      </c>
      <c r="C11" s="6" t="inlineStr">
        <is>
          <t>psi</t>
        </is>
      </c>
      <c r="D11" s="4" t="inlineStr">
        <is>
          <t>Concrete  f'c</t>
        </is>
      </c>
      <c r="E11" s="5" t="n">
        <v>5000</v>
      </c>
      <c r="F11" s="6" t="inlineStr">
        <is>
          <t>psi</t>
        </is>
      </c>
    </row>
    <row r="12" ht="16" customHeight="1">
      <c r="A12" s="4" t="inlineStr">
        <is>
          <t>Long. steel  fy</t>
        </is>
      </c>
      <c r="B12" s="5" t="n">
        <v>60000</v>
      </c>
      <c r="C12" s="6" t="inlineStr">
        <is>
          <t>psi</t>
        </is>
      </c>
      <c r="D12" s="4" t="inlineStr">
        <is>
          <t>Long. steel  fy</t>
        </is>
      </c>
      <c r="E12" s="5" t="n">
        <v>60000</v>
      </c>
      <c r="F12" s="6" t="inlineStr">
        <is>
          <t>psi</t>
        </is>
      </c>
    </row>
    <row r="13" ht="16" customHeight="1">
      <c r="A13" s="4" t="inlineStr">
        <is>
          <t>Trans. steel  fyt</t>
        </is>
      </c>
      <c r="B13" s="5" t="n">
        <v>60000</v>
      </c>
      <c r="C13" s="6" t="inlineStr">
        <is>
          <t>psi</t>
        </is>
      </c>
      <c r="D13" s="4" t="inlineStr">
        <is>
          <t>Trans. steel  fyt</t>
        </is>
      </c>
      <c r="E13" s="5" t="n">
        <v>60000</v>
      </c>
      <c r="F13" s="6" t="inlineStr">
        <is>
          <t>psi</t>
        </is>
      </c>
    </row>
    <row r="14" ht="18" customHeight="1">
      <c r="A14" s="3" t="inlineStr">
        <is>
          <t xml:space="preserve">  C1 – Rect. Tied (Short)  —  FACTORED LOADS</t>
        </is>
      </c>
      <c r="D14" s="3" t="inlineStr">
        <is>
          <t xml:space="preserve">  C2 – Rect. Tied (Slender)  —  FACTORED LOADS</t>
        </is>
      </c>
    </row>
    <row r="15" ht="16" customHeight="1">
      <c r="A15" s="4" t="inlineStr">
        <is>
          <t>Axial load  Pu</t>
        </is>
      </c>
      <c r="B15" s="5" t="n">
        <v>450000</v>
      </c>
      <c r="C15" s="6" t="inlineStr">
        <is>
          <t>lb</t>
        </is>
      </c>
      <c r="D15" s="4" t="inlineStr">
        <is>
          <t>Axial load  Pu</t>
        </is>
      </c>
      <c r="E15" s="5" t="n">
        <v>180000</v>
      </c>
      <c r="F15" s="6" t="inlineStr">
        <is>
          <t>lb</t>
        </is>
      </c>
    </row>
    <row r="16" ht="16" customHeight="1">
      <c r="A16" s="4" t="inlineStr">
        <is>
          <t>Moment about x-axis  Mux</t>
        </is>
      </c>
      <c r="B16" s="5" t="n">
        <v>1200000</v>
      </c>
      <c r="C16" s="6" t="inlineStr">
        <is>
          <t>lb·in</t>
        </is>
      </c>
      <c r="D16" s="4" t="inlineStr">
        <is>
          <t>Moment about x-axis  Mux</t>
        </is>
      </c>
      <c r="E16" s="5" t="n">
        <v>600000</v>
      </c>
      <c r="F16" s="6" t="inlineStr">
        <is>
          <t>lb·in</t>
        </is>
      </c>
    </row>
    <row r="17" ht="16" customHeight="1">
      <c r="A17" s="4" t="inlineStr">
        <is>
          <t>Moment about y-axis  Muy</t>
        </is>
      </c>
      <c r="B17" s="5" t="n">
        <v>0</v>
      </c>
      <c r="C17" s="6" t="inlineStr">
        <is>
          <t>lb·in</t>
        </is>
      </c>
      <c r="D17" s="4" t="inlineStr">
        <is>
          <t>Moment about y-axis  Muy</t>
        </is>
      </c>
      <c r="E17" s="5" t="n">
        <v>0</v>
      </c>
      <c r="F17" s="6" t="inlineStr">
        <is>
          <t>lb·in</t>
        </is>
      </c>
    </row>
    <row r="18" ht="16" customHeight="1">
      <c r="A18" s="4" t="inlineStr">
        <is>
          <t>Shear  Vu</t>
        </is>
      </c>
      <c r="B18" s="5" t="n">
        <v>0</v>
      </c>
      <c r="C18" s="6" t="inlineStr">
        <is>
          <t>lb</t>
        </is>
      </c>
      <c r="D18" s="4" t="inlineStr">
        <is>
          <t>Shear  Vu</t>
        </is>
      </c>
      <c r="E18" s="5" t="n">
        <v>0</v>
      </c>
      <c r="F18" s="6" t="inlineStr">
        <is>
          <t>lb</t>
        </is>
      </c>
    </row>
    <row r="19" ht="18" customHeight="1">
      <c r="A19" s="3" t="inlineStr">
        <is>
          <t xml:space="preserve">  C1 – Rect. Tied (Short)  —  LONGITUDINAL REINFORCEMENT</t>
        </is>
      </c>
      <c r="D19" s="3" t="inlineStr">
        <is>
          <t xml:space="preserve">  C2 – Rect. Tied (Slender)  —  LONGITUDINAL REINFORCEMENT</t>
        </is>
      </c>
    </row>
    <row r="20" ht="16" customHeight="1">
      <c r="A20" s="4" t="inlineStr">
        <is>
          <t>Bar size  (#)</t>
        </is>
      </c>
      <c r="B20" s="5" t="n">
        <v>9</v>
      </c>
      <c r="C20" s="6" t="inlineStr">
        <is>
          <t>—</t>
        </is>
      </c>
      <c r="D20" s="4" t="inlineStr">
        <is>
          <t>Bar size  (#)</t>
        </is>
      </c>
      <c r="E20" s="5" t="n">
        <v>7</v>
      </c>
      <c r="F20" s="6" t="inlineStr">
        <is>
          <t>—</t>
        </is>
      </c>
    </row>
    <row r="21" ht="16" customHeight="1">
      <c r="A21" s="4" t="inlineStr">
        <is>
          <t>Number of bars</t>
        </is>
      </c>
      <c r="B21" s="5" t="n">
        <v>8</v>
      </c>
      <c r="C21" s="6" t="inlineStr">
        <is>
          <t>—</t>
        </is>
      </c>
      <c r="D21" s="4" t="inlineStr">
        <is>
          <t>Number of bars</t>
        </is>
      </c>
      <c r="E21" s="5" t="n">
        <v>6</v>
      </c>
      <c r="F21" s="6" t="inlineStr">
        <is>
          <t>—</t>
        </is>
      </c>
    </row>
    <row r="22" ht="16" customHeight="1">
      <c r="A22" s="4" t="inlineStr">
        <is>
          <t>Clear cover to ties / spiral</t>
        </is>
      </c>
      <c r="B22" s="5" t="n">
        <v>1.5</v>
      </c>
      <c r="C22" s="6" t="inlineStr">
        <is>
          <t>in</t>
        </is>
      </c>
      <c r="D22" s="4" t="inlineStr">
        <is>
          <t>Clear cover to ties / spiral</t>
        </is>
      </c>
      <c r="E22" s="5" t="n">
        <v>1.5</v>
      </c>
      <c r="F22" s="6" t="inlineStr">
        <is>
          <t>in</t>
        </is>
      </c>
    </row>
    <row r="23" ht="18" customHeight="1">
      <c r="A23" s="3" t="inlineStr">
        <is>
          <t xml:space="preserve">  C1 – Rect. Tied (Short)  —  TRANSVERSE REINFORCEMENT</t>
        </is>
      </c>
      <c r="D23" s="3" t="inlineStr">
        <is>
          <t xml:space="preserve">  C2 – Rect. Tied (Slender)  —  TRANSVERSE REINFORCEMENT</t>
        </is>
      </c>
    </row>
    <row r="24" ht="16" customHeight="1">
      <c r="A24" s="4" t="inlineStr">
        <is>
          <t>Tie / spiral bar size  (#)</t>
        </is>
      </c>
      <c r="B24" s="5" t="n">
        <v>3</v>
      </c>
      <c r="C24" s="6" t="inlineStr">
        <is>
          <t>—</t>
        </is>
      </c>
      <c r="D24" s="4" t="inlineStr">
        <is>
          <t>Tie / spiral bar size  (#)</t>
        </is>
      </c>
      <c r="E24" s="5" t="n">
        <v>3</v>
      </c>
      <c r="F24" s="6" t="inlineStr">
        <is>
          <t>—</t>
        </is>
      </c>
    </row>
    <row r="25" ht="18" customHeight="1">
      <c r="A25" s="3" t="inlineStr">
        <is>
          <t xml:space="preserve">  C1 – Rect. Tied (Short)  —  ADVANCED</t>
        </is>
      </c>
      <c r="D25" s="3" t="inlineStr">
        <is>
          <t xml:space="preserve">  C2 – Rect. Tied (Slender)  —  ADVANCED</t>
        </is>
      </c>
    </row>
    <row r="26" ht="16" customHeight="1">
      <c r="A26" s="4" t="inlineStr">
        <is>
          <t>Sustained-load ratio  βdns</t>
        </is>
      </c>
      <c r="B26" s="5" t="n">
        <v>0.6</v>
      </c>
      <c r="C26" s="6" t="inlineStr">
        <is>
          <t>0 – 1</t>
        </is>
      </c>
      <c r="D26" s="4" t="inlineStr">
        <is>
          <t>Sustained-load ratio  βdns</t>
        </is>
      </c>
      <c r="E26" s="5" t="n">
        <v>0.6</v>
      </c>
      <c r="F26" s="6" t="inlineStr">
        <is>
          <t>0 – 1</t>
        </is>
      </c>
    </row>
    <row r="28" ht="18" customHeight="1">
      <c r="A28" s="3" t="inlineStr">
        <is>
          <t xml:space="preserve">  C3 – Circular Spiral  —  GEOMETRY</t>
        </is>
      </c>
      <c r="D28" s="3" t="inlineStr">
        <is>
          <t xml:space="preserve">  C4 – Rect. Pure Compression  —  GEOMETRY</t>
        </is>
      </c>
    </row>
    <row r="29" ht="16" customHeight="1">
      <c r="A29" s="4" t="inlineStr">
        <is>
          <t>Section type</t>
        </is>
      </c>
      <c r="B29" s="5" t="inlineStr">
        <is>
          <t>circular</t>
        </is>
      </c>
      <c r="C29" s="6" t="inlineStr">
        <is>
          <t>rectangular / circular</t>
        </is>
      </c>
      <c r="D29" s="4" t="inlineStr">
        <is>
          <t>Section type</t>
        </is>
      </c>
      <c r="E29" s="5" t="inlineStr">
        <is>
          <t>rectangular</t>
        </is>
      </c>
      <c r="F29" s="6" t="inlineStr">
        <is>
          <t>rectangular / circular</t>
        </is>
      </c>
    </row>
    <row r="30" ht="16" customHeight="1">
      <c r="A30" s="4" t="inlineStr">
        <is>
          <t>Width b  (or diameter D for circular)</t>
        </is>
      </c>
      <c r="B30" s="5" t="n">
        <v>20</v>
      </c>
      <c r="C30" s="6" t="inlineStr">
        <is>
          <t>in</t>
        </is>
      </c>
      <c r="D30" s="4" t="inlineStr">
        <is>
          <t>Width b  (or diameter D for circular)</t>
        </is>
      </c>
      <c r="E30" s="5" t="n">
        <v>18</v>
      </c>
      <c r="F30" s="6" t="inlineStr">
        <is>
          <t>in</t>
        </is>
      </c>
    </row>
    <row r="31" ht="16" customHeight="1">
      <c r="A31" s="4" t="inlineStr">
        <is>
          <t>Depth h  (rectangular only)</t>
        </is>
      </c>
      <c r="B31" s="5" t="n">
        <v>20</v>
      </c>
      <c r="C31" s="6" t="inlineStr">
        <is>
          <t>in</t>
        </is>
      </c>
      <c r="D31" s="4" t="inlineStr">
        <is>
          <t>Depth h  (rectangular only)</t>
        </is>
      </c>
      <c r="E31" s="5" t="n">
        <v>18</v>
      </c>
      <c r="F31" s="6" t="inlineStr">
        <is>
          <t>in</t>
        </is>
      </c>
    </row>
    <row r="32" ht="16" customHeight="1">
      <c r="A32" s="4" t="inlineStr">
        <is>
          <t>Unsupported length Lu</t>
        </is>
      </c>
      <c r="B32" s="5" t="n">
        <v>144</v>
      </c>
      <c r="C32" s="6" t="inlineStr">
        <is>
          <t>in</t>
        </is>
      </c>
      <c r="D32" s="4" t="inlineStr">
        <is>
          <t>Unsupported length Lu</t>
        </is>
      </c>
      <c r="E32" s="5" t="n">
        <v>144</v>
      </c>
      <c r="F32" s="6" t="inlineStr">
        <is>
          <t>in</t>
        </is>
      </c>
    </row>
    <row r="33" ht="16" customHeight="1">
      <c r="A33" s="4" t="inlineStr">
        <is>
          <t>Effective length factor k</t>
        </is>
      </c>
      <c r="B33" s="5" t="n">
        <v>0.8</v>
      </c>
      <c r="C33" s="6" t="inlineStr">
        <is>
          <t>—</t>
        </is>
      </c>
      <c r="D33" s="4" t="inlineStr">
        <is>
          <t>Effective length factor k</t>
        </is>
      </c>
      <c r="E33" s="5" t="n">
        <v>0.65</v>
      </c>
      <c r="F33" s="6" t="inlineStr">
        <is>
          <t>—</t>
        </is>
      </c>
    </row>
    <row r="34" ht="16" customHeight="1">
      <c r="A34" s="4" t="inlineStr">
        <is>
          <t>Frame type</t>
        </is>
      </c>
      <c r="B34" s="5" t="inlineStr">
        <is>
          <t>Braced</t>
        </is>
      </c>
      <c r="C34" s="6" t="inlineStr">
        <is>
          <t>braced / unbraced</t>
        </is>
      </c>
      <c r="D34" s="4" t="inlineStr">
        <is>
          <t>Frame type</t>
        </is>
      </c>
      <c r="E34" s="5" t="inlineStr">
        <is>
          <t>Braced</t>
        </is>
      </c>
      <c r="F34" s="6" t="inlineStr">
        <is>
          <t>braced / unbraced</t>
        </is>
      </c>
    </row>
    <row r="35" ht="18" customHeight="1">
      <c r="A35" s="3" t="inlineStr">
        <is>
          <t xml:space="preserve">  C3 – Circular Spiral  —  MATERIALS</t>
        </is>
      </c>
      <c r="D35" s="3" t="inlineStr">
        <is>
          <t xml:space="preserve">  C4 – Rect. Pure Compression  —  MATERIALS</t>
        </is>
      </c>
    </row>
    <row r="36" ht="16" customHeight="1">
      <c r="A36" s="4" t="inlineStr">
        <is>
          <t>Concrete  f'c</t>
        </is>
      </c>
      <c r="B36" s="5" t="n">
        <v>5000</v>
      </c>
      <c r="C36" s="6" t="inlineStr">
        <is>
          <t>psi</t>
        </is>
      </c>
      <c r="D36" s="4" t="inlineStr">
        <is>
          <t>Concrete  f'c</t>
        </is>
      </c>
      <c r="E36" s="5" t="n">
        <v>6000</v>
      </c>
      <c r="F36" s="6" t="inlineStr">
        <is>
          <t>psi</t>
        </is>
      </c>
    </row>
    <row r="37" ht="16" customHeight="1">
      <c r="A37" s="4" t="inlineStr">
        <is>
          <t>Long. steel  fy</t>
        </is>
      </c>
      <c r="B37" s="5" t="n">
        <v>60000</v>
      </c>
      <c r="C37" s="6" t="inlineStr">
        <is>
          <t>psi</t>
        </is>
      </c>
      <c r="D37" s="4" t="inlineStr">
        <is>
          <t>Long. steel  fy</t>
        </is>
      </c>
      <c r="E37" s="5" t="n">
        <v>60000</v>
      </c>
      <c r="F37" s="6" t="inlineStr">
        <is>
          <t>psi</t>
        </is>
      </c>
    </row>
    <row r="38" ht="16" customHeight="1">
      <c r="A38" s="4" t="inlineStr">
        <is>
          <t>Trans. steel  fyt</t>
        </is>
      </c>
      <c r="B38" s="5" t="n">
        <v>60000</v>
      </c>
      <c r="C38" s="6" t="inlineStr">
        <is>
          <t>psi</t>
        </is>
      </c>
      <c r="D38" s="4" t="inlineStr">
        <is>
          <t>Trans. steel  fyt</t>
        </is>
      </c>
      <c r="E38" s="5" t="n">
        <v>60000</v>
      </c>
      <c r="F38" s="6" t="inlineStr">
        <is>
          <t>psi</t>
        </is>
      </c>
    </row>
    <row r="39" ht="18" customHeight="1">
      <c r="A39" s="3" t="inlineStr">
        <is>
          <t xml:space="preserve">  C3 – Circular Spiral  —  FACTORED LOADS</t>
        </is>
      </c>
      <c r="D39" s="3" t="inlineStr">
        <is>
          <t xml:space="preserve">  C4 – Rect. Pure Compression  —  FACTORED LOADS</t>
        </is>
      </c>
    </row>
    <row r="40" ht="16" customHeight="1">
      <c r="A40" s="4" t="inlineStr">
        <is>
          <t>Axial load  Pu</t>
        </is>
      </c>
      <c r="B40" s="5" t="n">
        <v>600000</v>
      </c>
      <c r="C40" s="6" t="inlineStr">
        <is>
          <t>lb</t>
        </is>
      </c>
      <c r="D40" s="4" t="inlineStr">
        <is>
          <t>Axial load  Pu</t>
        </is>
      </c>
      <c r="E40" s="5" t="n">
        <v>900000</v>
      </c>
      <c r="F40" s="6" t="inlineStr">
        <is>
          <t>lb</t>
        </is>
      </c>
    </row>
    <row r="41" ht="16" customHeight="1">
      <c r="A41" s="4" t="inlineStr">
        <is>
          <t>Moment about x-axis  Mux</t>
        </is>
      </c>
      <c r="B41" s="5" t="n">
        <v>900000</v>
      </c>
      <c r="C41" s="6" t="inlineStr">
        <is>
          <t>lb·in</t>
        </is>
      </c>
      <c r="D41" s="4" t="inlineStr">
        <is>
          <t>Moment about x-axis  Mux</t>
        </is>
      </c>
      <c r="E41" s="5" t="n">
        <v>0</v>
      </c>
      <c r="F41" s="6" t="inlineStr">
        <is>
          <t>lb·in</t>
        </is>
      </c>
    </row>
    <row r="42" ht="16" customHeight="1">
      <c r="A42" s="4" t="inlineStr">
        <is>
          <t>Moment about y-axis  Muy</t>
        </is>
      </c>
      <c r="B42" s="5" t="n">
        <v>0</v>
      </c>
      <c r="C42" s="6" t="inlineStr">
        <is>
          <t>lb·in</t>
        </is>
      </c>
      <c r="D42" s="4" t="inlineStr">
        <is>
          <t>Moment about y-axis  Muy</t>
        </is>
      </c>
      <c r="E42" s="5" t="n">
        <v>0</v>
      </c>
      <c r="F42" s="6" t="inlineStr">
        <is>
          <t>lb·in</t>
        </is>
      </c>
    </row>
    <row r="43" ht="16" customHeight="1">
      <c r="A43" s="4" t="inlineStr">
        <is>
          <t>Shear  Vu</t>
        </is>
      </c>
      <c r="B43" s="5" t="n">
        <v>0</v>
      </c>
      <c r="C43" s="6" t="inlineStr">
        <is>
          <t>lb</t>
        </is>
      </c>
      <c r="D43" s="4" t="inlineStr">
        <is>
          <t>Shear  Vu</t>
        </is>
      </c>
      <c r="E43" s="5" t="n">
        <v>0</v>
      </c>
      <c r="F43" s="6" t="inlineStr">
        <is>
          <t>lb</t>
        </is>
      </c>
    </row>
    <row r="44" ht="18" customHeight="1">
      <c r="A44" s="3" t="inlineStr">
        <is>
          <t xml:space="preserve">  C3 – Circular Spiral  —  LONGITUDINAL REINFORCEMENT</t>
        </is>
      </c>
      <c r="D44" s="3" t="inlineStr">
        <is>
          <t xml:space="preserve">  C4 – Rect. Pure Compression  —  LONGITUDINAL REINFORCEMENT</t>
        </is>
      </c>
    </row>
    <row r="45" ht="16" customHeight="1">
      <c r="A45" s="4" t="inlineStr">
        <is>
          <t>Bar size  (#)</t>
        </is>
      </c>
      <c r="B45" s="5" t="n">
        <v>8</v>
      </c>
      <c r="C45" s="6" t="inlineStr">
        <is>
          <t>—</t>
        </is>
      </c>
      <c r="D45" s="4" t="inlineStr">
        <is>
          <t>Bar size  (#)</t>
        </is>
      </c>
      <c r="E45" s="5" t="n">
        <v>10</v>
      </c>
      <c r="F45" s="6" t="inlineStr">
        <is>
          <t>—</t>
        </is>
      </c>
    </row>
    <row r="46" ht="16" customHeight="1">
      <c r="A46" s="4" t="inlineStr">
        <is>
          <t>Number of bars</t>
        </is>
      </c>
      <c r="B46" s="5" t="n">
        <v>8</v>
      </c>
      <c r="C46" s="6" t="inlineStr">
        <is>
          <t>—</t>
        </is>
      </c>
      <c r="D46" s="4" t="inlineStr">
        <is>
          <t>Number of bars</t>
        </is>
      </c>
      <c r="E46" s="5" t="n">
        <v>8</v>
      </c>
      <c r="F46" s="6" t="inlineStr">
        <is>
          <t>—</t>
        </is>
      </c>
    </row>
    <row r="47" ht="16" customHeight="1">
      <c r="A47" s="4" t="inlineStr">
        <is>
          <t>Clear cover to ties / spiral</t>
        </is>
      </c>
      <c r="B47" s="5" t="n">
        <v>1.5</v>
      </c>
      <c r="C47" s="6" t="inlineStr">
        <is>
          <t>in</t>
        </is>
      </c>
      <c r="D47" s="4" t="inlineStr">
        <is>
          <t>Clear cover to ties / spiral</t>
        </is>
      </c>
      <c r="E47" s="5" t="n">
        <v>1.5</v>
      </c>
      <c r="F47" s="6" t="inlineStr">
        <is>
          <t>in</t>
        </is>
      </c>
    </row>
    <row r="48" ht="18" customHeight="1">
      <c r="A48" s="3" t="inlineStr">
        <is>
          <t xml:space="preserve">  C3 – Circular Spiral  —  TRANSVERSE REINFORCEMENT</t>
        </is>
      </c>
      <c r="D48" s="3" t="inlineStr">
        <is>
          <t xml:space="preserve">  C4 – Rect. Pure Compression  —  TRANSVERSE REINFORCEMENT</t>
        </is>
      </c>
    </row>
    <row r="49" ht="16" customHeight="1">
      <c r="A49" s="4" t="inlineStr">
        <is>
          <t>Tie / spiral bar size  (#)</t>
        </is>
      </c>
      <c r="B49" s="5" t="n">
        <v>3</v>
      </c>
      <c r="C49" s="6" t="inlineStr">
        <is>
          <t>—</t>
        </is>
      </c>
      <c r="D49" s="4" t="inlineStr">
        <is>
          <t>Tie / spiral bar size  (#)</t>
        </is>
      </c>
      <c r="E49" s="5" t="n">
        <v>4</v>
      </c>
      <c r="F49" s="6" t="inlineStr">
        <is>
          <t>—</t>
        </is>
      </c>
    </row>
    <row r="50" ht="18" customHeight="1">
      <c r="A50" s="3" t="inlineStr">
        <is>
          <t xml:space="preserve">  C3 – Circular Spiral  —  ADVANCED</t>
        </is>
      </c>
      <c r="D50" s="3" t="inlineStr">
        <is>
          <t xml:space="preserve">  C4 – Rect. Pure Compression  —  ADVANCED</t>
        </is>
      </c>
    </row>
    <row r="51" ht="16" customHeight="1">
      <c r="A51" s="4" t="inlineStr">
        <is>
          <t>Sustained-load ratio  βdns</t>
        </is>
      </c>
      <c r="B51" s="5" t="n">
        <v>0.6</v>
      </c>
      <c r="C51" s="6" t="inlineStr">
        <is>
          <t>0 – 1</t>
        </is>
      </c>
      <c r="D51" s="4" t="inlineStr">
        <is>
          <t>Sustained-load ratio  βdns</t>
        </is>
      </c>
      <c r="E51" s="5" t="n">
        <v>0.7</v>
      </c>
      <c r="F51" s="6" t="inlineStr">
        <is>
          <t>0 – 1</t>
        </is>
      </c>
    </row>
  </sheetData>
  <mergeCells count="26">
    <mergeCell ref="A25:C25"/>
    <mergeCell ref="D48:F48"/>
    <mergeCell ref="A3:C3"/>
    <mergeCell ref="A50:C50"/>
    <mergeCell ref="D28:F28"/>
    <mergeCell ref="A23:C23"/>
    <mergeCell ref="A14:C14"/>
    <mergeCell ref="D3:F3"/>
    <mergeCell ref="A35:C35"/>
    <mergeCell ref="D25:F25"/>
    <mergeCell ref="D39:F39"/>
    <mergeCell ref="A10:C10"/>
    <mergeCell ref="A28:C28"/>
    <mergeCell ref="A19:C19"/>
    <mergeCell ref="A1:G1"/>
    <mergeCell ref="D14:F14"/>
    <mergeCell ref="A44:C44"/>
    <mergeCell ref="D23:F23"/>
    <mergeCell ref="D35:F35"/>
    <mergeCell ref="D50:F50"/>
    <mergeCell ref="D44:F44"/>
    <mergeCell ref="A39:C39"/>
    <mergeCell ref="A48:C48"/>
    <mergeCell ref="D10:F10"/>
    <mergeCell ref="D19:F19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RC Column Design — ACI 318-19  |  Summary of Results</t>
        </is>
      </c>
    </row>
    <row r="2" ht="20" customHeight="1">
      <c r="A2" s="7" t="inlineStr">
        <is>
          <t>#</t>
        </is>
      </c>
      <c r="B2" s="7" t="inlineStr">
        <is>
          <t>Parameter</t>
        </is>
      </c>
      <c r="C2" s="7" t="inlineStr">
        <is>
          <t>Unit</t>
        </is>
      </c>
      <c r="D2" s="7" t="inlineStr">
        <is>
          <t>C1 – Rect. Tied (Short)</t>
        </is>
      </c>
      <c r="E2" s="7" t="inlineStr">
        <is>
          <t>C2 – Rect. Tied (Slender)</t>
        </is>
      </c>
      <c r="F2" s="7" t="inlineStr">
        <is>
          <t>C3 – Circular Spiral</t>
        </is>
      </c>
      <c r="G2" s="7" t="inlineStr">
        <is>
          <t>C4 – Rect. Pure Compression</t>
        </is>
      </c>
    </row>
    <row r="3" ht="16" customHeight="1">
      <c r="A3" s="8" t="n">
        <v>1</v>
      </c>
      <c r="B3" s="9" t="inlineStr">
        <is>
          <t>STATUS</t>
        </is>
      </c>
      <c r="C3" s="8" t="inlineStr"/>
      <c r="D3" s="10" t="inlineStr">
        <is>
          <t>PASS</t>
        </is>
      </c>
      <c r="E3" s="11" t="inlineStr">
        <is>
          <t>FAIL</t>
        </is>
      </c>
      <c r="F3" s="10" t="inlineStr">
        <is>
          <t>PASS</t>
        </is>
      </c>
      <c r="G3" s="10" t="inlineStr">
        <is>
          <t>PASS</t>
        </is>
      </c>
    </row>
    <row r="4" ht="16" customHeight="1">
      <c r="A4" s="12" t="inlineStr">
        <is>
          <t>───── SECTION ─────</t>
        </is>
      </c>
    </row>
    <row r="5" ht="16" customHeight="1">
      <c r="A5" s="8" t="n">
        <v>2</v>
      </c>
      <c r="B5" s="9" t="inlineStr">
        <is>
          <t>Gross area  Ag</t>
        </is>
      </c>
      <c r="C5" s="8" t="inlineStr">
        <is>
          <t>in²</t>
        </is>
      </c>
      <c r="D5" s="8" t="inlineStr">
        <is>
          <t>320.00</t>
        </is>
      </c>
      <c r="E5" s="8" t="inlineStr">
        <is>
          <t>144.00</t>
        </is>
      </c>
      <c r="F5" s="8" t="inlineStr">
        <is>
          <t>314.16</t>
        </is>
      </c>
      <c r="G5" s="8" t="inlineStr">
        <is>
          <t>324.00</t>
        </is>
      </c>
    </row>
    <row r="6" ht="16" customHeight="1">
      <c r="A6" s="8" t="n">
        <v>3</v>
      </c>
      <c r="B6" s="9" t="inlineStr">
        <is>
          <t>Total steel  Ast</t>
        </is>
      </c>
      <c r="C6" s="8" t="inlineStr">
        <is>
          <t>in²</t>
        </is>
      </c>
      <c r="D6" s="8" t="inlineStr">
        <is>
          <t>8.000</t>
        </is>
      </c>
      <c r="E6" s="8" t="inlineStr">
        <is>
          <t>3.600</t>
        </is>
      </c>
      <c r="F6" s="8" t="inlineStr">
        <is>
          <t>6.320</t>
        </is>
      </c>
      <c r="G6" s="8" t="inlineStr">
        <is>
          <t>10.160</t>
        </is>
      </c>
    </row>
    <row r="7" ht="16" customHeight="1">
      <c r="A7" s="8" t="n">
        <v>4</v>
      </c>
      <c r="B7" s="9" t="inlineStr">
        <is>
          <t>Steel ratio  ρg = Ast/Ag</t>
        </is>
      </c>
      <c r="C7" s="8" t="inlineStr">
        <is>
          <t>—</t>
        </is>
      </c>
      <c r="D7" s="8" t="inlineStr">
        <is>
          <t>0.0250</t>
        </is>
      </c>
      <c r="E7" s="8" t="inlineStr">
        <is>
          <t>0.0250</t>
        </is>
      </c>
      <c r="F7" s="8" t="inlineStr">
        <is>
          <t>0.0201</t>
        </is>
      </c>
      <c r="G7" s="8" t="inlineStr">
        <is>
          <t>0.0314</t>
        </is>
      </c>
    </row>
    <row r="8" ht="16" customHeight="1">
      <c r="A8" s="8" t="n">
        <v>5</v>
      </c>
      <c r="B8" s="9" t="inlineStr">
        <is>
          <t>ρg within limits [0.01, 0.08]?</t>
        </is>
      </c>
      <c r="C8" s="8" t="inlineStr">
        <is>
          <t>—</t>
        </is>
      </c>
      <c r="D8" s="10" t="inlineStr">
        <is>
          <t>YES</t>
        </is>
      </c>
      <c r="E8" s="10" t="inlineStr">
        <is>
          <t>YES</t>
        </is>
      </c>
      <c r="F8" s="10" t="inlineStr">
        <is>
          <t>YES</t>
        </is>
      </c>
      <c r="G8" s="10" t="inlineStr">
        <is>
          <t>YES</t>
        </is>
      </c>
    </row>
    <row r="9" ht="16" customHeight="1">
      <c r="A9" s="8" t="n">
        <v>6</v>
      </c>
      <c r="B9" s="9" t="inlineStr">
        <is>
          <t>β₁ (stress-block factor)</t>
        </is>
      </c>
      <c r="C9" s="8" t="inlineStr">
        <is>
          <t>—</t>
        </is>
      </c>
      <c r="D9" s="8" t="inlineStr">
        <is>
          <t>0.850</t>
        </is>
      </c>
      <c r="E9" s="8" t="inlineStr">
        <is>
          <t>0.800</t>
        </is>
      </c>
      <c r="F9" s="8" t="inlineStr">
        <is>
          <t>0.800</t>
        </is>
      </c>
      <c r="G9" s="8" t="inlineStr">
        <is>
          <t>0.750</t>
        </is>
      </c>
    </row>
    <row r="10" ht="16" customHeight="1">
      <c r="A10" s="8" t="n">
        <v>7</v>
      </c>
      <c r="B10" s="9" t="inlineStr">
        <is>
          <t>Ec (concrete modulus)</t>
        </is>
      </c>
      <c r="C10" s="8" t="inlineStr">
        <is>
          <t>ksi</t>
        </is>
      </c>
      <c r="D10" s="8" t="inlineStr">
        <is>
          <t>3644</t>
        </is>
      </c>
      <c r="E10" s="8" t="inlineStr">
        <is>
          <t>4074</t>
        </is>
      </c>
      <c r="F10" s="8" t="inlineStr">
        <is>
          <t>4074</t>
        </is>
      </c>
      <c r="G10" s="8" t="inlineStr">
        <is>
          <t>4463</t>
        </is>
      </c>
    </row>
    <row r="11" ht="16" customHeight="1">
      <c r="A11" s="12" t="inlineStr">
        <is>
          <t>───── AXIAL CAPACITY ─────</t>
        </is>
      </c>
    </row>
    <row r="12" ht="16" customHeight="1">
      <c r="A12" s="8" t="n">
        <v>8</v>
      </c>
      <c r="B12" s="9" t="inlineStr">
        <is>
          <t>Po (zero eccentricity)</t>
        </is>
      </c>
      <c r="C12" s="8" t="inlineStr">
        <is>
          <t>kips</t>
        </is>
      </c>
      <c r="D12" s="8" t="inlineStr">
        <is>
          <t>1540.8</t>
        </is>
      </c>
      <c r="E12" s="8" t="inlineStr">
        <is>
          <t>812.7</t>
        </is>
      </c>
      <c r="F12" s="8" t="inlineStr">
        <is>
          <t>1687.5</t>
        </is>
      </c>
      <c r="G12" s="8" t="inlineStr">
        <is>
          <t>2210.2</t>
        </is>
      </c>
    </row>
    <row r="13" ht="16" customHeight="1">
      <c r="A13" s="8" t="n">
        <v>9</v>
      </c>
      <c r="B13" s="9" t="inlineStr">
        <is>
          <t>Pn,max (accidental ecc.)</t>
        </is>
      </c>
      <c r="C13" s="8" t="inlineStr">
        <is>
          <t>kips</t>
        </is>
      </c>
      <c r="D13" s="8" t="inlineStr">
        <is>
          <t>1232.6</t>
        </is>
      </c>
      <c r="E13" s="8" t="inlineStr">
        <is>
          <t>650.2</t>
        </is>
      </c>
      <c r="F13" s="8" t="inlineStr">
        <is>
          <t>1434.4</t>
        </is>
      </c>
      <c r="G13" s="8" t="inlineStr">
        <is>
          <t>1768.1</t>
        </is>
      </c>
    </row>
    <row r="14" ht="16" customHeight="1">
      <c r="A14" s="8" t="n">
        <v>10</v>
      </c>
      <c r="B14" s="9" t="inlineStr">
        <is>
          <t>φ (strength-reduction factor)</t>
        </is>
      </c>
      <c r="C14" s="8" t="inlineStr">
        <is>
          <t>—</t>
        </is>
      </c>
      <c r="D14" s="8" t="inlineStr">
        <is>
          <t>0.65</t>
        </is>
      </c>
      <c r="E14" s="8" t="inlineStr">
        <is>
          <t>0.65</t>
        </is>
      </c>
      <c r="F14" s="8" t="inlineStr">
        <is>
          <t>0.75</t>
        </is>
      </c>
      <c r="G14" s="8" t="inlineStr">
        <is>
          <t>0.65</t>
        </is>
      </c>
    </row>
    <row r="15" ht="16" customHeight="1">
      <c r="A15" s="8" t="n">
        <v>11</v>
      </c>
      <c r="B15" s="9" t="inlineStr">
        <is>
          <t>φPn (design axial capacity)</t>
        </is>
      </c>
      <c r="C15" s="8" t="inlineStr">
        <is>
          <t>kips</t>
        </is>
      </c>
      <c r="D15" s="8" t="inlineStr">
        <is>
          <t>801.2</t>
        </is>
      </c>
      <c r="E15" s="8" t="inlineStr">
        <is>
          <t>422.6</t>
        </is>
      </c>
      <c r="F15" s="8" t="inlineStr">
        <is>
          <t>1075.8</t>
        </is>
      </c>
      <c r="G15" s="8" t="inlineStr">
        <is>
          <t>1149.3</t>
        </is>
      </c>
    </row>
    <row r="16" ht="16" customHeight="1">
      <c r="A16" s="8" t="n">
        <v>12</v>
      </c>
      <c r="B16" s="9" t="inlineStr">
        <is>
          <t>Pu (factored axial load)</t>
        </is>
      </c>
      <c r="C16" s="8" t="inlineStr">
        <is>
          <t>kips</t>
        </is>
      </c>
      <c r="D16" s="8" t="inlineStr">
        <is>
          <t>450.0</t>
        </is>
      </c>
      <c r="E16" s="8" t="inlineStr">
        <is>
          <t>180.0</t>
        </is>
      </c>
      <c r="F16" s="8" t="inlineStr">
        <is>
          <t>600.0</t>
        </is>
      </c>
      <c r="G16" s="8" t="inlineStr">
        <is>
          <t>900.0</t>
        </is>
      </c>
    </row>
    <row r="17" ht="16" customHeight="1">
      <c r="A17" s="8" t="n">
        <v>13</v>
      </c>
      <c r="B17" s="9" t="inlineStr">
        <is>
          <t>DCR = Pu / φPn</t>
        </is>
      </c>
      <c r="C17" s="8" t="inlineStr">
        <is>
          <t>—</t>
        </is>
      </c>
      <c r="D17" s="8" t="inlineStr">
        <is>
          <t>0.562</t>
        </is>
      </c>
      <c r="E17" s="8" t="inlineStr">
        <is>
          <t>0.426</t>
        </is>
      </c>
      <c r="F17" s="8" t="inlineStr">
        <is>
          <t>0.558</t>
        </is>
      </c>
      <c r="G17" s="8" t="inlineStr">
        <is>
          <t>0.783</t>
        </is>
      </c>
    </row>
    <row r="18" ht="16" customHeight="1">
      <c r="A18" s="8" t="n">
        <v>14</v>
      </c>
      <c r="B18" s="9" t="inlineStr">
        <is>
          <t>Axial capacity OK?</t>
        </is>
      </c>
      <c r="C18" s="8" t="inlineStr">
        <is>
          <t>—</t>
        </is>
      </c>
      <c r="D18" s="10" t="inlineStr">
        <is>
          <t>YES</t>
        </is>
      </c>
      <c r="E18" s="10" t="inlineStr">
        <is>
          <t>YES</t>
        </is>
      </c>
      <c r="F18" s="10" t="inlineStr">
        <is>
          <t>YES</t>
        </is>
      </c>
      <c r="G18" s="10" t="inlineStr">
        <is>
          <t>YES</t>
        </is>
      </c>
    </row>
    <row r="19" ht="16" customHeight="1">
      <c r="A19" s="12" t="inlineStr">
        <is>
          <t>───── SLENDERNESS ─────</t>
        </is>
      </c>
    </row>
    <row r="20" ht="16" customHeight="1">
      <c r="A20" s="8" t="n">
        <v>15</v>
      </c>
      <c r="B20" s="9" t="inlineStr">
        <is>
          <t>Radius of gyration  r</t>
        </is>
      </c>
      <c r="C20" s="8" t="inlineStr">
        <is>
          <t>in</t>
        </is>
      </c>
      <c r="D20" s="8" t="inlineStr">
        <is>
          <t>4.800</t>
        </is>
      </c>
      <c r="E20" s="8" t="inlineStr">
        <is>
          <t>3.600</t>
        </is>
      </c>
      <c r="F20" s="8" t="inlineStr">
        <is>
          <t>5.000</t>
        </is>
      </c>
      <c r="G20" s="8" t="inlineStr">
        <is>
          <t>5.400</t>
        </is>
      </c>
    </row>
    <row r="21" ht="16" customHeight="1">
      <c r="A21" s="8" t="n">
        <v>16</v>
      </c>
      <c r="B21" s="9" t="inlineStr">
        <is>
          <t>kLu / r</t>
        </is>
      </c>
      <c r="C21" s="8" t="inlineStr">
        <is>
          <t>—</t>
        </is>
      </c>
      <c r="D21" s="8" t="inlineStr">
        <is>
          <t>25.0</t>
        </is>
      </c>
      <c r="E21" s="8" t="inlineStr">
        <is>
          <t>66.7</t>
        </is>
      </c>
      <c r="F21" s="8" t="inlineStr">
        <is>
          <t>23.0</t>
        </is>
      </c>
      <c r="G21" s="8" t="inlineStr">
        <is>
          <t>17.3</t>
        </is>
      </c>
    </row>
    <row r="22" ht="16" customHeight="1">
      <c r="A22" s="8" t="n">
        <v>17</v>
      </c>
      <c r="B22" s="9" t="inlineStr">
        <is>
          <t>Slender?</t>
        </is>
      </c>
      <c r="C22" s="8" t="inlineStr">
        <is>
          <t>—</t>
        </is>
      </c>
      <c r="D22" s="10" t="inlineStr">
        <is>
          <t>SHORT</t>
        </is>
      </c>
      <c r="E22" s="11" t="inlineStr">
        <is>
          <t>SLENDER</t>
        </is>
      </c>
      <c r="F22" s="10" t="inlineStr">
        <is>
          <t>SHORT</t>
        </is>
      </c>
      <c r="G22" s="10" t="inlineStr">
        <is>
          <t>SHORT</t>
        </is>
      </c>
    </row>
    <row r="23" ht="16" customHeight="1">
      <c r="A23" s="8" t="n">
        <v>18</v>
      </c>
      <c r="B23" s="9" t="inlineStr">
        <is>
          <t>δns (magnification factor)</t>
        </is>
      </c>
      <c r="C23" s="8" t="inlineStr">
        <is>
          <t>—</t>
        </is>
      </c>
      <c r="D23" s="8" t="inlineStr">
        <is>
          <t>1.000</t>
        </is>
      </c>
      <c r="E23" s="8" t="inlineStr">
        <is>
          <t>4.897</t>
        </is>
      </c>
      <c r="F23" s="8" t="inlineStr">
        <is>
          <t>1.000</t>
        </is>
      </c>
      <c r="G23" s="8" t="inlineStr">
        <is>
          <t>1.000</t>
        </is>
      </c>
    </row>
    <row r="24" ht="16" customHeight="1">
      <c r="A24" s="8" t="n">
        <v>19</v>
      </c>
      <c r="B24" s="9" t="inlineStr">
        <is>
          <t>Pc (Euler buckling load)</t>
        </is>
      </c>
      <c r="C24" s="8" t="inlineStr">
        <is>
          <t>kips</t>
        </is>
      </c>
      <c r="D24" s="8" t="inlineStr">
        <is>
          <t>—</t>
        </is>
      </c>
      <c r="E24" s="8" t="inlineStr">
        <is>
          <t>301.6</t>
        </is>
      </c>
      <c r="F24" s="8" t="inlineStr">
        <is>
          <t>—</t>
        </is>
      </c>
      <c r="G24" s="8" t="inlineStr">
        <is>
          <t>—</t>
        </is>
      </c>
    </row>
    <row r="25" ht="16" customHeight="1">
      <c r="A25" s="8" t="n">
        <v>20</v>
      </c>
      <c r="B25" s="9" t="inlineStr">
        <is>
          <t>Mc (magnified moment)</t>
        </is>
      </c>
      <c r="C25" s="8" t="inlineStr">
        <is>
          <t>kip·ft</t>
        </is>
      </c>
      <c r="D25" s="8" t="inlineStr">
        <is>
          <t>100.00</t>
        </is>
      </c>
      <c r="E25" s="8" t="inlineStr">
        <is>
          <t>244.85</t>
        </is>
      </c>
      <c r="F25" s="8" t="inlineStr">
        <is>
          <t>75.00</t>
        </is>
      </c>
      <c r="G25" s="8" t="inlineStr">
        <is>
          <t>0.00</t>
        </is>
      </c>
    </row>
    <row r="26" ht="16" customHeight="1">
      <c r="A26" s="12" t="inlineStr">
        <is>
          <t>───── MOMENT CAPACITY ─────</t>
        </is>
      </c>
    </row>
    <row r="27" ht="16" customHeight="1">
      <c r="A27" s="8" t="n">
        <v>21</v>
      </c>
      <c r="B27" s="9" t="inlineStr">
        <is>
          <t>φMn at given Pu</t>
        </is>
      </c>
      <c r="C27" s="8" t="inlineStr">
        <is>
          <t>kip·ft</t>
        </is>
      </c>
      <c r="D27" s="8" t="inlineStr">
        <is>
          <t>291.19</t>
        </is>
      </c>
      <c r="E27" s="8" t="inlineStr">
        <is>
          <t>83.00</t>
        </is>
      </c>
      <c r="F27" s="8" t="inlineStr">
        <is>
          <t>424.49</t>
        </is>
      </c>
      <c r="G27" s="8" t="inlineStr">
        <is>
          <t>271.89</t>
        </is>
      </c>
    </row>
    <row r="28" ht="16" customHeight="1">
      <c r="A28" s="8" t="n">
        <v>22</v>
      </c>
      <c r="B28" s="9" t="inlineStr">
        <is>
          <t>Mc / φMn  (flexure DCR)</t>
        </is>
      </c>
      <c r="C28" s="8" t="inlineStr">
        <is>
          <t>—</t>
        </is>
      </c>
      <c r="D28" s="8" t="inlineStr">
        <is>
          <t>0.343</t>
        </is>
      </c>
      <c r="E28" s="8" t="inlineStr">
        <is>
          <t>2.950</t>
        </is>
      </c>
      <c r="F28" s="8" t="inlineStr">
        <is>
          <t>0.177</t>
        </is>
      </c>
      <c r="G28" s="8" t="inlineStr">
        <is>
          <t>0.000</t>
        </is>
      </c>
    </row>
    <row r="29" ht="16" customHeight="1">
      <c r="A29" s="8" t="n">
        <v>23</v>
      </c>
      <c r="B29" s="9" t="inlineStr">
        <is>
          <t>Moment capacity OK?</t>
        </is>
      </c>
      <c r="C29" s="8" t="inlineStr">
        <is>
          <t>—</t>
        </is>
      </c>
      <c r="D29" s="10" t="inlineStr">
        <is>
          <t>YES</t>
        </is>
      </c>
      <c r="E29" s="11" t="inlineStr">
        <is>
          <t>NO</t>
        </is>
      </c>
      <c r="F29" s="10" t="inlineStr">
        <is>
          <t>YES</t>
        </is>
      </c>
      <c r="G29" s="10" t="inlineStr">
        <is>
          <t>YES</t>
        </is>
      </c>
    </row>
    <row r="30" ht="16" customHeight="1">
      <c r="A30" s="12" t="inlineStr">
        <is>
          <t>───── LATERAL REINFORCEMENT ─────</t>
        </is>
      </c>
    </row>
    <row r="31" ht="16" customHeight="1">
      <c r="A31" s="8" t="n">
        <v>24</v>
      </c>
      <c r="B31" s="9" t="inlineStr">
        <is>
          <t>Tie max spacing</t>
        </is>
      </c>
      <c r="C31" s="8" t="inlineStr">
        <is>
          <t>in</t>
        </is>
      </c>
      <c r="D31" s="8" t="inlineStr">
        <is>
          <t>16.00</t>
        </is>
      </c>
      <c r="E31" s="8" t="inlineStr">
        <is>
          <t>12.00</t>
        </is>
      </c>
      <c r="F31" s="8" t="inlineStr">
        <is>
          <t>—</t>
        </is>
      </c>
      <c r="G31" s="8" t="inlineStr">
        <is>
          <t>18.00</t>
        </is>
      </c>
    </row>
    <row r="32" ht="16" customHeight="1">
      <c r="A32" s="8" t="n">
        <v>25</v>
      </c>
      <c r="B32" s="9" t="inlineStr">
        <is>
          <t>Spiral pitch</t>
        </is>
      </c>
      <c r="C32" s="8" t="inlineStr">
        <is>
          <t>in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1.80</t>
        </is>
      </c>
      <c r="G32" s="8" t="inlineStr">
        <is>
          <t>—</t>
        </is>
      </c>
    </row>
    <row r="33" ht="16" customHeight="1">
      <c r="A33" s="8" t="n">
        <v>26</v>
      </c>
      <c r="B33" s="9" t="inlineStr">
        <is>
          <t>Spiral ρs,min</t>
        </is>
      </c>
      <c r="C33" s="8" t="inlineStr">
        <is>
          <t>—</t>
        </is>
      </c>
      <c r="D33" s="8" t="inlineStr">
        <is>
          <t>—</t>
        </is>
      </c>
      <c r="E33" s="8" t="inlineStr">
        <is>
          <t>—</t>
        </is>
      </c>
      <c r="F33" s="8" t="inlineStr">
        <is>
          <t>0.0144</t>
        </is>
      </c>
      <c r="G33" s="8" t="inlineStr">
        <is>
          <t>—</t>
        </is>
      </c>
    </row>
  </sheetData>
  <mergeCells count="6">
    <mergeCell ref="A11:F11"/>
    <mergeCell ref="A19:F19"/>
    <mergeCell ref="A4:F4"/>
    <mergeCell ref="A1:H1"/>
    <mergeCell ref="A26:F26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4" max="4"/>
    <col width="14" customWidth="1" min="5" max="5"/>
    <col width="14" customWidth="1" min="7" max="7"/>
    <col width="14" customWidth="1" min="8" max="8"/>
    <col width="14" customWidth="1" min="10" max="10"/>
    <col width="14" customWidth="1" min="11" max="11"/>
  </cols>
  <sheetData>
    <row r="1" ht="30" customHeight="1">
      <c r="A1" s="1" t="inlineStr">
        <is>
          <t>P-M Interaction Diagrams — ACI 318-19</t>
        </is>
      </c>
    </row>
    <row r="2">
      <c r="A2" s="7" t="inlineStr">
        <is>
          <t>C1 – Rect. Tied (Short)  —  Interaction</t>
        </is>
      </c>
      <c r="D2" s="7" t="inlineStr">
        <is>
          <t>C2 – Rect. Tied (Slender)  —  Interaction</t>
        </is>
      </c>
      <c r="G2" s="7" t="inlineStr">
        <is>
          <t>C3 – Circular Spiral  —  Interaction</t>
        </is>
      </c>
      <c r="J2" s="7" t="inlineStr">
        <is>
          <t>C4 – Rect. Pure Compression  —  Interaction</t>
        </is>
      </c>
    </row>
    <row r="3">
      <c r="A3" s="5" t="inlineStr">
        <is>
          <t>φMn  (kip·ft)</t>
        </is>
      </c>
      <c r="B3" s="5" t="inlineStr">
        <is>
          <t>φPn  (kips)</t>
        </is>
      </c>
      <c r="D3" s="5" t="inlineStr">
        <is>
          <t>φMn  (kip·ft)</t>
        </is>
      </c>
      <c r="E3" s="5" t="inlineStr">
        <is>
          <t>φPn  (kips)</t>
        </is>
      </c>
      <c r="G3" s="5" t="inlineStr">
        <is>
          <t>φMn  (kip·ft)</t>
        </is>
      </c>
      <c r="H3" s="5" t="inlineStr">
        <is>
          <t>φPn  (kips)</t>
        </is>
      </c>
      <c r="J3" s="5" t="inlineStr">
        <is>
          <t>φMn  (kip·ft)</t>
        </is>
      </c>
      <c r="K3" s="5" t="inlineStr">
        <is>
          <t>φPn  (kips)</t>
        </is>
      </c>
    </row>
    <row r="4">
      <c r="A4" s="8" t="n">
        <v>0</v>
      </c>
      <c r="B4" s="8" t="n">
        <v>801.22</v>
      </c>
      <c r="D4" s="8" t="n">
        <v>0</v>
      </c>
      <c r="E4" s="8" t="n">
        <v>422.6</v>
      </c>
      <c r="G4" s="8" t="n">
        <v>0</v>
      </c>
      <c r="H4" s="8" t="n">
        <v>1075.79</v>
      </c>
      <c r="J4" s="8" t="n">
        <v>0</v>
      </c>
      <c r="K4" s="8" t="n">
        <v>1149.3</v>
      </c>
    </row>
    <row r="5">
      <c r="A5" s="8" t="n">
        <v>33.63</v>
      </c>
      <c r="B5" s="8" t="n">
        <v>801.22</v>
      </c>
      <c r="D5" s="8" t="n">
        <v>5.6</v>
      </c>
      <c r="E5" s="8" t="n">
        <v>422.6</v>
      </c>
      <c r="G5" s="8" t="n">
        <v>864.4</v>
      </c>
      <c r="H5" s="8" t="n">
        <v>1075.79</v>
      </c>
      <c r="J5" s="8" t="n">
        <v>30.49</v>
      </c>
      <c r="K5" s="8" t="n">
        <v>1149.3</v>
      </c>
    </row>
    <row r="6">
      <c r="A6" s="8" t="n">
        <v>35.06</v>
      </c>
      <c r="B6" s="8" t="n">
        <v>801.22</v>
      </c>
      <c r="D6" s="8" t="n">
        <v>5.89</v>
      </c>
      <c r="E6" s="8" t="n">
        <v>422.6</v>
      </c>
      <c r="G6" s="8" t="n">
        <v>865.72</v>
      </c>
      <c r="H6" s="8" t="n">
        <v>1075.79</v>
      </c>
      <c r="J6" s="8" t="n">
        <v>31.98</v>
      </c>
      <c r="K6" s="8" t="n">
        <v>1149.3</v>
      </c>
    </row>
    <row r="7">
      <c r="A7" s="8" t="n">
        <v>36.54</v>
      </c>
      <c r="B7" s="8" t="n">
        <v>801.22</v>
      </c>
      <c r="D7" s="8" t="n">
        <v>6.19</v>
      </c>
      <c r="E7" s="8" t="n">
        <v>422.6</v>
      </c>
      <c r="G7" s="8" t="n">
        <v>867.09</v>
      </c>
      <c r="H7" s="8" t="n">
        <v>1075.79</v>
      </c>
      <c r="J7" s="8" t="n">
        <v>33.52</v>
      </c>
      <c r="K7" s="8" t="n">
        <v>1149.3</v>
      </c>
    </row>
    <row r="8">
      <c r="A8" s="8" t="n">
        <v>38.08</v>
      </c>
      <c r="B8" s="8" t="n">
        <v>801.22</v>
      </c>
      <c r="D8" s="8" t="n">
        <v>6.49</v>
      </c>
      <c r="E8" s="8" t="n">
        <v>422.6</v>
      </c>
      <c r="G8" s="8" t="n">
        <v>868.5</v>
      </c>
      <c r="H8" s="8" t="n">
        <v>1075.79</v>
      </c>
      <c r="J8" s="8" t="n">
        <v>35.11</v>
      </c>
      <c r="K8" s="8" t="n">
        <v>1149.3</v>
      </c>
    </row>
    <row r="9">
      <c r="A9" s="8" t="n">
        <v>39.67</v>
      </c>
      <c r="B9" s="8" t="n">
        <v>801.22</v>
      </c>
      <c r="D9" s="8" t="n">
        <v>6.81</v>
      </c>
      <c r="E9" s="8" t="n">
        <v>422.6</v>
      </c>
      <c r="G9" s="8" t="n">
        <v>869.97</v>
      </c>
      <c r="H9" s="8" t="n">
        <v>1075.79</v>
      </c>
      <c r="J9" s="8" t="n">
        <v>36.76</v>
      </c>
      <c r="K9" s="8" t="n">
        <v>1149.3</v>
      </c>
    </row>
    <row r="10">
      <c r="A10" s="8" t="n">
        <v>41.32</v>
      </c>
      <c r="B10" s="8" t="n">
        <v>801.22</v>
      </c>
      <c r="D10" s="8" t="n">
        <v>7.15</v>
      </c>
      <c r="E10" s="8" t="n">
        <v>422.6</v>
      </c>
      <c r="G10" s="8" t="n">
        <v>871.49</v>
      </c>
      <c r="H10" s="8" t="n">
        <v>1075.79</v>
      </c>
      <c r="J10" s="8" t="n">
        <v>38.48</v>
      </c>
      <c r="K10" s="8" t="n">
        <v>1149.3</v>
      </c>
    </row>
    <row r="11">
      <c r="A11" s="8" t="n">
        <v>43.03</v>
      </c>
      <c r="B11" s="8" t="n">
        <v>801.22</v>
      </c>
      <c r="D11" s="8" t="n">
        <v>7.49</v>
      </c>
      <c r="E11" s="8" t="n">
        <v>422.6</v>
      </c>
      <c r="G11" s="8" t="n">
        <v>873.0700000000001</v>
      </c>
      <c r="H11" s="8" t="n">
        <v>1075.79</v>
      </c>
      <c r="J11" s="8" t="n">
        <v>40.25</v>
      </c>
      <c r="K11" s="8" t="n">
        <v>1149.3</v>
      </c>
    </row>
    <row r="12">
      <c r="A12" s="8" t="n">
        <v>44.81</v>
      </c>
      <c r="B12" s="8" t="n">
        <v>801.22</v>
      </c>
      <c r="D12" s="8" t="n">
        <v>7.85</v>
      </c>
      <c r="E12" s="8" t="n">
        <v>422.6</v>
      </c>
      <c r="G12" s="8" t="n">
        <v>874.71</v>
      </c>
      <c r="H12" s="8" t="n">
        <v>1075.79</v>
      </c>
      <c r="J12" s="8" t="n">
        <v>48.35</v>
      </c>
      <c r="K12" s="8" t="n">
        <v>1149.3</v>
      </c>
    </row>
    <row r="13">
      <c r="A13" s="8" t="n">
        <v>46.65</v>
      </c>
      <c r="B13" s="8" t="n">
        <v>801.22</v>
      </c>
      <c r="D13" s="8" t="n">
        <v>8.220000000000001</v>
      </c>
      <c r="E13" s="8" t="n">
        <v>422.6</v>
      </c>
      <c r="G13" s="8" t="n">
        <v>876.42</v>
      </c>
      <c r="H13" s="8" t="n">
        <v>1075.79</v>
      </c>
      <c r="J13" s="8" t="n">
        <v>65.03</v>
      </c>
      <c r="K13" s="8" t="n">
        <v>1149.3</v>
      </c>
    </row>
    <row r="14">
      <c r="A14" s="8" t="n">
        <v>48.57</v>
      </c>
      <c r="B14" s="8" t="n">
        <v>801.22</v>
      </c>
      <c r="D14" s="8" t="n">
        <v>8.609999999999999</v>
      </c>
      <c r="E14" s="8" t="n">
        <v>422.6</v>
      </c>
      <c r="G14" s="8" t="n">
        <v>878.1900000000001</v>
      </c>
      <c r="H14" s="8" t="n">
        <v>1075.79</v>
      </c>
      <c r="J14" s="8" t="n">
        <v>81.19</v>
      </c>
      <c r="K14" s="8" t="n">
        <v>1149.3</v>
      </c>
    </row>
    <row r="15">
      <c r="A15" s="8" t="n">
        <v>50.57</v>
      </c>
      <c r="B15" s="8" t="n">
        <v>801.22</v>
      </c>
      <c r="D15" s="8" t="n">
        <v>9.42</v>
      </c>
      <c r="E15" s="8" t="n">
        <v>422.6</v>
      </c>
      <c r="G15" s="8" t="n">
        <v>1709.65</v>
      </c>
      <c r="H15" s="8" t="n">
        <v>1075.79</v>
      </c>
      <c r="J15" s="8" t="n">
        <v>96.86</v>
      </c>
      <c r="K15" s="8" t="n">
        <v>1149.3</v>
      </c>
    </row>
    <row r="16">
      <c r="A16" s="8" t="n">
        <v>52.65</v>
      </c>
      <c r="B16" s="8" t="n">
        <v>801.22</v>
      </c>
      <c r="D16" s="8" t="n">
        <v>13.76</v>
      </c>
      <c r="E16" s="8" t="n">
        <v>422.6</v>
      </c>
      <c r="G16" s="8" t="n">
        <v>1664.09</v>
      </c>
      <c r="H16" s="8" t="n">
        <v>1075.79</v>
      </c>
      <c r="J16" s="8" t="n">
        <v>112.04</v>
      </c>
      <c r="K16" s="8" t="n">
        <v>1149.3</v>
      </c>
    </row>
    <row r="17">
      <c r="A17" s="8" t="n">
        <v>54.82</v>
      </c>
      <c r="B17" s="8" t="n">
        <v>801.22</v>
      </c>
      <c r="D17" s="8" t="n">
        <v>17.96</v>
      </c>
      <c r="E17" s="8" t="n">
        <v>422.6</v>
      </c>
      <c r="G17" s="8" t="n">
        <v>1610.69</v>
      </c>
      <c r="H17" s="8" t="n">
        <v>1075.79</v>
      </c>
      <c r="J17" s="8" t="n">
        <v>126.73</v>
      </c>
      <c r="K17" s="8" t="n">
        <v>1149.3</v>
      </c>
    </row>
    <row r="18">
      <c r="A18" s="8" t="n">
        <v>59.89</v>
      </c>
      <c r="B18" s="8" t="n">
        <v>801.22</v>
      </c>
      <c r="D18" s="8" t="n">
        <v>22.01</v>
      </c>
      <c r="E18" s="8" t="n">
        <v>422.6</v>
      </c>
      <c r="G18" s="8" t="n">
        <v>1552.79</v>
      </c>
      <c r="H18" s="8" t="n">
        <v>1075.79</v>
      </c>
      <c r="J18" s="8" t="n">
        <v>140.93</v>
      </c>
      <c r="K18" s="8" t="n">
        <v>1149.3</v>
      </c>
    </row>
    <row r="19">
      <c r="A19" s="8" t="n">
        <v>74.54000000000001</v>
      </c>
      <c r="B19" s="8" t="n">
        <v>801.22</v>
      </c>
      <c r="D19" s="8" t="n">
        <v>25.92</v>
      </c>
      <c r="E19" s="8" t="n">
        <v>422.6</v>
      </c>
      <c r="G19" s="8" t="n">
        <v>1491.92</v>
      </c>
      <c r="H19" s="8" t="n">
        <v>1075.79</v>
      </c>
      <c r="J19" s="8" t="n">
        <v>154.66</v>
      </c>
      <c r="K19" s="8" t="n">
        <v>1149.3</v>
      </c>
    </row>
    <row r="20">
      <c r="A20" s="8" t="n">
        <v>88.76000000000001</v>
      </c>
      <c r="B20" s="8" t="n">
        <v>801.22</v>
      </c>
      <c r="D20" s="8" t="n">
        <v>29.68</v>
      </c>
      <c r="E20" s="8" t="n">
        <v>422.6</v>
      </c>
      <c r="G20" s="8" t="n">
        <v>1429.08</v>
      </c>
      <c r="H20" s="8" t="n">
        <v>1075.79</v>
      </c>
      <c r="J20" s="8" t="n">
        <v>167.92</v>
      </c>
      <c r="K20" s="8" t="n">
        <v>1149.3</v>
      </c>
    </row>
    <row r="21">
      <c r="A21" s="8" t="n">
        <v>102.54</v>
      </c>
      <c r="B21" s="8" t="n">
        <v>801.22</v>
      </c>
      <c r="D21" s="8" t="n">
        <v>33.31</v>
      </c>
      <c r="E21" s="8" t="n">
        <v>422.6</v>
      </c>
      <c r="G21" s="8" t="n">
        <v>1365</v>
      </c>
      <c r="H21" s="8" t="n">
        <v>1075.79</v>
      </c>
      <c r="J21" s="8" t="n">
        <v>180.71</v>
      </c>
      <c r="K21" s="8" t="n">
        <v>1126.89</v>
      </c>
    </row>
    <row r="22">
      <c r="A22" s="8" t="n">
        <v>115.89</v>
      </c>
      <c r="B22" s="8" t="n">
        <v>801.22</v>
      </c>
      <c r="D22" s="8" t="n">
        <v>36.8</v>
      </c>
      <c r="E22" s="8" t="n">
        <v>422.6</v>
      </c>
      <c r="G22" s="8" t="n">
        <v>1300.26</v>
      </c>
      <c r="H22" s="8" t="n">
        <v>1075.79</v>
      </c>
      <c r="J22" s="8" t="n">
        <v>193.06</v>
      </c>
      <c r="K22" s="8" t="n">
        <v>1101.21</v>
      </c>
    </row>
    <row r="23">
      <c r="A23" s="8" t="n">
        <v>128.84</v>
      </c>
      <c r="B23" s="8" t="n">
        <v>801.22</v>
      </c>
      <c r="D23" s="8" t="n">
        <v>40.16</v>
      </c>
      <c r="E23" s="8" t="n">
        <v>421.07</v>
      </c>
      <c r="G23" s="8" t="n">
        <v>1235.34</v>
      </c>
      <c r="H23" s="8" t="n">
        <v>1057.89</v>
      </c>
      <c r="J23" s="8" t="n">
        <v>204.96</v>
      </c>
      <c r="K23" s="8" t="n">
        <v>1075.28</v>
      </c>
    </row>
    <row r="24">
      <c r="A24" s="8" t="n">
        <v>141.38</v>
      </c>
      <c r="B24" s="8" t="n">
        <v>790.92</v>
      </c>
      <c r="D24" s="8" t="n">
        <v>43.38</v>
      </c>
      <c r="E24" s="8" t="n">
        <v>411.08</v>
      </c>
      <c r="G24" s="8" t="n">
        <v>1170.65</v>
      </c>
      <c r="H24" s="8" t="n">
        <v>1033.95</v>
      </c>
      <c r="J24" s="8" t="n">
        <v>216.42</v>
      </c>
      <c r="K24" s="8" t="n">
        <v>1049.08</v>
      </c>
    </row>
    <row r="25">
      <c r="A25" s="8" t="n">
        <v>153.52</v>
      </c>
      <c r="B25" s="8" t="n">
        <v>770.73</v>
      </c>
      <c r="D25" s="8" t="n">
        <v>46.47</v>
      </c>
      <c r="E25" s="8" t="n">
        <v>401</v>
      </c>
      <c r="G25" s="8" t="n">
        <v>1106.51</v>
      </c>
      <c r="H25" s="8" t="n">
        <v>1008.94</v>
      </c>
      <c r="J25" s="8" t="n">
        <v>227.47</v>
      </c>
      <c r="K25" s="8" t="n">
        <v>1022.57</v>
      </c>
    </row>
    <row r="26">
      <c r="A26" s="8" t="n">
        <v>165.28</v>
      </c>
      <c r="B26" s="8" t="n">
        <v>750.28</v>
      </c>
      <c r="D26" s="8" t="n">
        <v>49.42</v>
      </c>
      <c r="E26" s="8" t="n">
        <v>390.8</v>
      </c>
      <c r="G26" s="8" t="n">
        <v>1043.26</v>
      </c>
      <c r="H26" s="8" t="n">
        <v>982.9299999999999</v>
      </c>
      <c r="J26" s="8" t="n">
        <v>238.1</v>
      </c>
      <c r="K26" s="8" t="n">
        <v>995.75</v>
      </c>
    </row>
    <row r="27">
      <c r="A27" s="8" t="n">
        <v>176.67</v>
      </c>
      <c r="B27" s="8" t="n">
        <v>729.5599999999999</v>
      </c>
      <c r="D27" s="8" t="n">
        <v>52.26</v>
      </c>
      <c r="E27" s="8" t="n">
        <v>380.5</v>
      </c>
      <c r="G27" s="8" t="n">
        <v>981.14</v>
      </c>
      <c r="H27" s="8" t="n">
        <v>955.97</v>
      </c>
      <c r="J27" s="8" t="n">
        <v>248.33</v>
      </c>
      <c r="K27" s="8" t="n">
        <v>968.58</v>
      </c>
    </row>
    <row r="28">
      <c r="A28" s="8" t="n">
        <v>187.71</v>
      </c>
      <c r="B28" s="8" t="n">
        <v>708.52</v>
      </c>
      <c r="D28" s="8" t="n">
        <v>54.96</v>
      </c>
      <c r="E28" s="8" t="n">
        <v>370.07</v>
      </c>
      <c r="G28" s="8" t="n">
        <v>920.42</v>
      </c>
      <c r="H28" s="8" t="n">
        <v>928.11</v>
      </c>
      <c r="J28" s="8" t="n">
        <v>258.19</v>
      </c>
      <c r="K28" s="8" t="n">
        <v>941.04</v>
      </c>
    </row>
    <row r="29">
      <c r="A29" s="8" t="n">
        <v>198.41</v>
      </c>
      <c r="B29" s="8" t="n">
        <v>687.16</v>
      </c>
      <c r="D29" s="8" t="n">
        <v>57.55</v>
      </c>
      <c r="E29" s="8" t="n">
        <v>359.5</v>
      </c>
      <c r="G29" s="8" t="n">
        <v>861.3</v>
      </c>
      <c r="H29" s="8" t="n">
        <v>899.4</v>
      </c>
      <c r="J29" s="8" t="n">
        <v>267.68</v>
      </c>
      <c r="K29" s="8" t="n">
        <v>913.09</v>
      </c>
    </row>
    <row r="30">
      <c r="A30" s="8" t="n">
        <v>208.79</v>
      </c>
      <c r="B30" s="8" t="n">
        <v>665.4400000000001</v>
      </c>
      <c r="D30" s="8" t="n">
        <v>60.02</v>
      </c>
      <c r="E30" s="8" t="n">
        <v>348.79</v>
      </c>
      <c r="G30" s="8" t="n">
        <v>803.99</v>
      </c>
      <c r="H30" s="8" t="n">
        <v>869.86</v>
      </c>
      <c r="J30" s="8" t="n">
        <v>276.82</v>
      </c>
      <c r="K30" s="8" t="n">
        <v>884.7</v>
      </c>
    </row>
    <row r="31">
      <c r="A31" s="8" t="n">
        <v>218.87</v>
      </c>
      <c r="B31" s="8" t="n">
        <v>643.33</v>
      </c>
      <c r="D31" s="8" t="n">
        <v>62.37</v>
      </c>
      <c r="E31" s="8" t="n">
        <v>337.91</v>
      </c>
      <c r="G31" s="8" t="n">
        <v>748.67</v>
      </c>
      <c r="H31" s="8" t="n">
        <v>839.53</v>
      </c>
      <c r="J31" s="8" t="n">
        <v>285.64</v>
      </c>
      <c r="K31" s="8" t="n">
        <v>855.83</v>
      </c>
    </row>
    <row r="32">
      <c r="A32" s="8" t="n">
        <v>228.67</v>
      </c>
      <c r="B32" s="8" t="n">
        <v>620.79</v>
      </c>
      <c r="D32" s="8" t="n">
        <v>64.62</v>
      </c>
      <c r="E32" s="8" t="n">
        <v>326.87</v>
      </c>
      <c r="G32" s="8" t="n">
        <v>695.5</v>
      </c>
      <c r="H32" s="8" t="n">
        <v>808.42</v>
      </c>
      <c r="J32" s="8" t="n">
        <v>294.16</v>
      </c>
      <c r="K32" s="8" t="n">
        <v>826.4299999999999</v>
      </c>
    </row>
    <row r="33">
      <c r="A33" s="8" t="n">
        <v>238.22</v>
      </c>
      <c r="B33" s="8" t="n">
        <v>597.78</v>
      </c>
      <c r="D33" s="8" t="n">
        <v>66.76000000000001</v>
      </c>
      <c r="E33" s="8" t="n">
        <v>315.63</v>
      </c>
      <c r="G33" s="8" t="n">
        <v>644.65</v>
      </c>
      <c r="H33" s="8" t="n">
        <v>776.54</v>
      </c>
      <c r="J33" s="8" t="n">
        <v>302.4</v>
      </c>
      <c r="K33" s="8" t="n">
        <v>796.46</v>
      </c>
    </row>
    <row r="34">
      <c r="A34" s="8" t="n">
        <v>247.56</v>
      </c>
      <c r="B34" s="8" t="n">
        <v>574.26</v>
      </c>
      <c r="D34" s="8" t="n">
        <v>68.81</v>
      </c>
      <c r="E34" s="8" t="n">
        <v>304.18</v>
      </c>
      <c r="G34" s="8" t="n">
        <v>596.25</v>
      </c>
      <c r="H34" s="8" t="n">
        <v>743.9</v>
      </c>
      <c r="J34" s="8" t="n">
        <v>310.4</v>
      </c>
      <c r="K34" s="8" t="n">
        <v>765.85</v>
      </c>
    </row>
    <row r="35">
      <c r="A35" s="8" t="n">
        <v>256.7</v>
      </c>
      <c r="B35" s="8" t="n">
        <v>550.16</v>
      </c>
      <c r="D35" s="8" t="n">
        <v>70.76000000000001</v>
      </c>
      <c r="E35" s="8" t="n">
        <v>292.49</v>
      </c>
      <c r="G35" s="8" t="n">
        <v>550.4299999999999</v>
      </c>
      <c r="H35" s="8" t="n">
        <v>710.51</v>
      </c>
      <c r="J35" s="8" t="n">
        <v>318.19</v>
      </c>
      <c r="K35" s="8" t="n">
        <v>734.54</v>
      </c>
    </row>
    <row r="36">
      <c r="A36" s="8" t="n">
        <v>265.69</v>
      </c>
      <c r="B36" s="8" t="n">
        <v>525.45</v>
      </c>
      <c r="D36" s="8" t="n">
        <v>72.64</v>
      </c>
      <c r="E36" s="8" t="n">
        <v>280.55</v>
      </c>
      <c r="G36" s="8" t="n">
        <v>507.33</v>
      </c>
      <c r="H36" s="8" t="n">
        <v>676.34</v>
      </c>
      <c r="J36" s="8" t="n">
        <v>325.81</v>
      </c>
      <c r="K36" s="8" t="n">
        <v>702.47</v>
      </c>
    </row>
    <row r="37">
      <c r="A37" s="8" t="n">
        <v>274.58</v>
      </c>
      <c r="B37" s="8" t="n">
        <v>500.03</v>
      </c>
      <c r="D37" s="8" t="n">
        <v>74.43000000000001</v>
      </c>
      <c r="E37" s="8" t="n">
        <v>268.33</v>
      </c>
      <c r="G37" s="8" t="n">
        <v>467.05</v>
      </c>
      <c r="H37" s="8" t="n">
        <v>641.38</v>
      </c>
      <c r="J37" s="8" t="n">
        <v>333.3</v>
      </c>
      <c r="K37" s="8" t="n">
        <v>669.53</v>
      </c>
    </row>
    <row r="38">
      <c r="A38" s="8" t="n">
        <v>283.41</v>
      </c>
      <c r="B38" s="8" t="n">
        <v>473.83</v>
      </c>
      <c r="D38" s="8" t="n">
        <v>76.16</v>
      </c>
      <c r="E38" s="8" t="n">
        <v>255.79</v>
      </c>
      <c r="G38" s="8" t="n">
        <v>429.72</v>
      </c>
      <c r="H38" s="8" t="n">
        <v>605.59</v>
      </c>
      <c r="J38" s="8" t="n">
        <v>340.72</v>
      </c>
      <c r="K38" s="8" t="n">
        <v>635.64</v>
      </c>
    </row>
    <row r="39">
      <c r="A39" s="8" t="n">
        <v>292.24</v>
      </c>
      <c r="B39" s="8" t="n">
        <v>446.77</v>
      </c>
      <c r="D39" s="8" t="n">
        <v>77.84</v>
      </c>
      <c r="E39" s="8" t="n">
        <v>242.89</v>
      </c>
      <c r="G39" s="8" t="n">
        <v>395.45</v>
      </c>
      <c r="H39" s="8" t="n">
        <v>568.95</v>
      </c>
      <c r="J39" s="8" t="n">
        <v>348.13</v>
      </c>
      <c r="K39" s="8" t="n">
        <v>600.6799999999999</v>
      </c>
    </row>
    <row r="40">
      <c r="A40" s="8" t="n">
        <v>301.14</v>
      </c>
      <c r="B40" s="8" t="n">
        <v>418.73</v>
      </c>
      <c r="D40" s="8" t="n">
        <v>79.40000000000001</v>
      </c>
      <c r="E40" s="8" t="n">
        <v>229.33</v>
      </c>
      <c r="G40" s="8" t="n">
        <v>364.34</v>
      </c>
      <c r="H40" s="8" t="n">
        <v>531.39</v>
      </c>
      <c r="J40" s="8" t="n">
        <v>355.59</v>
      </c>
      <c r="K40" s="8" t="n">
        <v>564.52</v>
      </c>
    </row>
    <row r="41">
      <c r="A41" s="8" t="n">
        <v>310.19</v>
      </c>
      <c r="B41" s="8" t="n">
        <v>389.59</v>
      </c>
      <c r="D41" s="8" t="n">
        <v>80.59</v>
      </c>
      <c r="E41" s="8" t="n">
        <v>214.23</v>
      </c>
      <c r="G41" s="8" t="n">
        <v>336.5</v>
      </c>
      <c r="H41" s="8" t="n">
        <v>492.84</v>
      </c>
      <c r="J41" s="8" t="n">
        <v>363.2</v>
      </c>
      <c r="K41" s="8" t="n">
        <v>527.01</v>
      </c>
    </row>
    <row r="42">
      <c r="A42" s="8" t="n">
        <v>319.49</v>
      </c>
      <c r="B42" s="8" t="n">
        <v>359.19</v>
      </c>
      <c r="D42" s="8" t="n">
        <v>81.75</v>
      </c>
      <c r="E42" s="8" t="n">
        <v>198.49</v>
      </c>
      <c r="G42" s="8" t="n">
        <v>312.04</v>
      </c>
      <c r="H42" s="8" t="n">
        <v>453.2</v>
      </c>
      <c r="J42" s="8" t="n">
        <v>371.04</v>
      </c>
      <c r="K42" s="8" t="n">
        <v>487.96</v>
      </c>
    </row>
    <row r="43">
      <c r="A43" s="8" t="n">
        <v>329.13</v>
      </c>
      <c r="B43" s="8" t="n">
        <v>327.37</v>
      </c>
      <c r="D43" s="8" t="n">
        <v>82.87</v>
      </c>
      <c r="E43" s="8" t="n">
        <v>182.03</v>
      </c>
      <c r="G43" s="8" t="n">
        <v>291.09</v>
      </c>
      <c r="H43" s="8" t="n">
        <v>412.36</v>
      </c>
      <c r="J43" s="8" t="n">
        <v>379.22</v>
      </c>
      <c r="K43" s="8" t="n">
        <v>447.15</v>
      </c>
    </row>
    <row r="44">
      <c r="A44" s="8" t="n">
        <v>341.93</v>
      </c>
      <c r="B44" s="8" t="n">
        <v>304.6</v>
      </c>
      <c r="D44" s="8" t="n">
        <v>83.98999999999999</v>
      </c>
      <c r="E44" s="8" t="n">
        <v>164.74</v>
      </c>
      <c r="G44" s="8" t="n">
        <v>272.68</v>
      </c>
      <c r="H44" s="8" t="n">
        <v>380.39</v>
      </c>
      <c r="J44" s="8" t="n">
        <v>387.9</v>
      </c>
      <c r="K44" s="8" t="n">
        <v>404.33</v>
      </c>
    </row>
    <row r="45">
      <c r="A45" s="8" t="n">
        <v>351.42</v>
      </c>
      <c r="B45" s="8" t="n">
        <v>298.83</v>
      </c>
      <c r="D45" s="8" t="n">
        <v>85.13</v>
      </c>
      <c r="E45" s="8" t="n">
        <v>146.5</v>
      </c>
      <c r="G45" s="8" t="n">
        <v>251.53</v>
      </c>
      <c r="H45" s="8" t="n">
        <v>361.1</v>
      </c>
      <c r="J45" s="8" t="n">
        <v>400.48</v>
      </c>
      <c r="K45" s="8" t="n">
        <v>388.21</v>
      </c>
    </row>
    <row r="46">
      <c r="A46" s="8" t="n">
        <v>361.44</v>
      </c>
      <c r="B46" s="8" t="n">
        <v>293.03</v>
      </c>
      <c r="D46" s="8" t="n">
        <v>87.13</v>
      </c>
      <c r="E46" s="8" t="n">
        <v>135.8</v>
      </c>
      <c r="G46" s="8" t="n">
        <v>232.7</v>
      </c>
      <c r="H46" s="8" t="n">
        <v>341.79</v>
      </c>
      <c r="J46" s="8" t="n">
        <v>409.09</v>
      </c>
      <c r="K46" s="8" t="n">
        <v>378.43</v>
      </c>
    </row>
    <row r="47">
      <c r="A47" s="8" t="n">
        <v>372.11</v>
      </c>
      <c r="B47" s="8" t="n">
        <v>287.19</v>
      </c>
      <c r="D47" s="8" t="n">
        <v>88.40000000000001</v>
      </c>
      <c r="E47" s="8" t="n">
        <v>129.72</v>
      </c>
      <c r="G47" s="8" t="n">
        <v>216.25</v>
      </c>
      <c r="H47" s="8" t="n">
        <v>322.48</v>
      </c>
      <c r="J47" s="8" t="n">
        <v>416.2</v>
      </c>
      <c r="K47" s="8" t="n">
        <v>364.52</v>
      </c>
    </row>
    <row r="48">
      <c r="A48" s="8" t="n">
        <v>383.58</v>
      </c>
      <c r="B48" s="8" t="n">
        <v>281.31</v>
      </c>
      <c r="D48" s="8" t="n">
        <v>89.64</v>
      </c>
      <c r="E48" s="8" t="n">
        <v>123.03</v>
      </c>
      <c r="G48" s="8" t="n">
        <v>202.26</v>
      </c>
      <c r="H48" s="8" t="n">
        <v>303.19</v>
      </c>
      <c r="J48" s="8" t="n">
        <v>423.45</v>
      </c>
      <c r="K48" s="8" t="n">
        <v>349.28</v>
      </c>
    </row>
    <row r="49">
      <c r="A49" s="8" t="n">
        <v>395.05</v>
      </c>
      <c r="B49" s="8" t="n">
        <v>273.79</v>
      </c>
      <c r="D49" s="8" t="n">
        <v>90.81999999999999</v>
      </c>
      <c r="E49" s="8" t="n">
        <v>115.56</v>
      </c>
      <c r="G49" s="8" t="n">
        <v>190.83</v>
      </c>
      <c r="H49" s="8" t="n">
        <v>283.93</v>
      </c>
      <c r="J49" s="8" t="n">
        <v>430.87</v>
      </c>
      <c r="K49" s="8" t="n">
        <v>332.36</v>
      </c>
    </row>
    <row r="50">
      <c r="A50" s="8" t="n">
        <v>404.61</v>
      </c>
      <c r="B50" s="8" t="n">
        <v>261.2</v>
      </c>
      <c r="D50" s="8" t="n">
        <v>91.92</v>
      </c>
      <c r="E50" s="8" t="n">
        <v>107.08</v>
      </c>
      <c r="G50" s="8" t="n">
        <v>179.18</v>
      </c>
      <c r="H50" s="8" t="n">
        <v>260.18</v>
      </c>
      <c r="J50" s="8" t="n">
        <v>438.45</v>
      </c>
      <c r="K50" s="8" t="n">
        <v>313.24</v>
      </c>
    </row>
    <row r="51">
      <c r="A51" s="8" t="n">
        <v>414.65</v>
      </c>
      <c r="B51" s="8" t="n">
        <v>246.77</v>
      </c>
      <c r="D51" s="8" t="n">
        <v>92.92</v>
      </c>
      <c r="E51" s="8" t="n">
        <v>97.3</v>
      </c>
      <c r="G51" s="8" t="n">
        <v>169.26</v>
      </c>
      <c r="H51" s="8" t="n">
        <v>234.77</v>
      </c>
      <c r="J51" s="8" t="n">
        <v>446.17</v>
      </c>
      <c r="K51" s="8" t="n">
        <v>291.23</v>
      </c>
    </row>
    <row r="52">
      <c r="A52" s="8" t="n">
        <v>406.42</v>
      </c>
      <c r="B52" s="8" t="n">
        <v>219.7</v>
      </c>
      <c r="D52" s="8" t="n">
        <v>93.76000000000001</v>
      </c>
      <c r="E52" s="8" t="n">
        <v>85.73999999999999</v>
      </c>
      <c r="G52" s="8" t="n">
        <v>156.74</v>
      </c>
      <c r="H52" s="8" t="n">
        <v>201.95</v>
      </c>
      <c r="J52" s="8" t="n">
        <v>444.22</v>
      </c>
      <c r="K52" s="8" t="n">
        <v>259.63</v>
      </c>
    </row>
    <row r="53">
      <c r="A53" s="8" t="n">
        <v>390.83</v>
      </c>
      <c r="B53" s="8" t="n">
        <v>187.66</v>
      </c>
      <c r="D53" s="8" t="n">
        <v>90.81</v>
      </c>
      <c r="E53" s="8" t="n">
        <v>69.06999999999999</v>
      </c>
      <c r="G53" s="8" t="n">
        <v>145.07</v>
      </c>
      <c r="H53" s="8" t="n">
        <v>167.12</v>
      </c>
      <c r="J53" s="8" t="n">
        <v>423.73</v>
      </c>
      <c r="K53" s="8" t="n">
        <v>214.83</v>
      </c>
    </row>
    <row r="54">
      <c r="A54" s="8" t="n">
        <v>373.13</v>
      </c>
      <c r="B54" s="8" t="n">
        <v>153.48</v>
      </c>
      <c r="D54" s="8" t="n">
        <v>84.89</v>
      </c>
      <c r="E54" s="8" t="n">
        <v>48.84</v>
      </c>
      <c r="G54" s="8" t="n">
        <v>134.91</v>
      </c>
      <c r="H54" s="8" t="n">
        <v>131.46</v>
      </c>
      <c r="J54" s="8" t="n">
        <v>400.72</v>
      </c>
      <c r="K54" s="8" t="n">
        <v>166.79</v>
      </c>
    </row>
    <row r="55">
      <c r="A55" s="8" t="n">
        <v>352.89</v>
      </c>
      <c r="B55" s="8" t="n">
        <v>116.47</v>
      </c>
      <c r="D55" s="8" t="n">
        <v>78.16</v>
      </c>
      <c r="E55" s="8" t="n">
        <v>26.67</v>
      </c>
      <c r="G55" s="8" t="n">
        <v>125.78</v>
      </c>
      <c r="H55" s="8" t="n">
        <v>94.52</v>
      </c>
      <c r="J55" s="8" t="n">
        <v>374.64</v>
      </c>
      <c r="K55" s="8" t="n">
        <v>114.49</v>
      </c>
    </row>
    <row r="56">
      <c r="A56" s="8" t="n">
        <v>329.45</v>
      </c>
      <c r="B56" s="8" t="n">
        <v>75.59</v>
      </c>
      <c r="D56" s="8" t="n">
        <v>70.39</v>
      </c>
      <c r="E56" s="8" t="n">
        <v>1.86</v>
      </c>
      <c r="G56" s="8" t="n">
        <v>116.99</v>
      </c>
      <c r="H56" s="8" t="n">
        <v>55.61</v>
      </c>
      <c r="J56" s="8" t="n">
        <v>344.69</v>
      </c>
      <c r="K56" s="8" t="n">
        <v>56.39</v>
      </c>
    </row>
    <row r="57">
      <c r="A57" s="8" t="n">
        <v>301.81</v>
      </c>
      <c r="B57" s="8" t="n">
        <v>29.23</v>
      </c>
      <c r="D57" s="8" t="n">
        <v>61.25</v>
      </c>
      <c r="E57" s="8" t="n">
        <v>-26.65</v>
      </c>
      <c r="G57" s="8" t="n">
        <v>107.55</v>
      </c>
      <c r="H57" s="8" t="n">
        <v>13.6</v>
      </c>
      <c r="J57" s="8" t="n">
        <v>309.57</v>
      </c>
      <c r="K57" s="8" t="n">
        <v>-9.92</v>
      </c>
    </row>
    <row r="58">
      <c r="A58" s="8" t="n">
        <v>268.31</v>
      </c>
      <c r="B58" s="8" t="n">
        <v>-25.23</v>
      </c>
      <c r="D58" s="8" t="n">
        <v>50.22</v>
      </c>
      <c r="E58" s="8" t="n">
        <v>-60.61</v>
      </c>
      <c r="G58" s="8" t="n">
        <v>95.92</v>
      </c>
      <c r="H58" s="8" t="n">
        <v>-33.39</v>
      </c>
      <c r="J58" s="8" t="n">
        <v>267.23</v>
      </c>
      <c r="K58" s="8" t="n">
        <v>-88.34</v>
      </c>
    </row>
    <row r="59">
      <c r="A59" s="8" t="n">
        <v>226.03</v>
      </c>
      <c r="B59" s="8" t="n">
        <v>-92.42</v>
      </c>
      <c r="D59" s="8" t="n">
        <v>36.36</v>
      </c>
      <c r="E59" s="8" t="n">
        <v>-103.05</v>
      </c>
      <c r="G59" s="8" t="n">
        <v>79.55</v>
      </c>
      <c r="H59" s="8" t="n">
        <v>-88.8</v>
      </c>
      <c r="J59" s="8" t="n">
        <v>214.02</v>
      </c>
      <c r="K59" s="8" t="n">
        <v>-185.75</v>
      </c>
    </row>
    <row r="60">
      <c r="A60" s="8" t="n">
        <v>169.29</v>
      </c>
      <c r="B60" s="8" t="n">
        <v>-181.37</v>
      </c>
      <c r="D60" s="8" t="n">
        <v>20.11</v>
      </c>
      <c r="E60" s="8" t="n">
        <v>-152.52</v>
      </c>
      <c r="G60" s="8" t="n">
        <v>53.66</v>
      </c>
      <c r="H60" s="8" t="n">
        <v>-159.39</v>
      </c>
      <c r="J60" s="8" t="n">
        <v>142.9</v>
      </c>
      <c r="K60" s="8" t="n">
        <v>-315.41</v>
      </c>
    </row>
    <row r="61">
      <c r="A61" s="8" t="n">
        <v>85.40000000000001</v>
      </c>
      <c r="B61" s="8" t="n">
        <v>-312.2</v>
      </c>
      <c r="D61" s="8" t="n">
        <v>15.42</v>
      </c>
      <c r="E61" s="8" t="n">
        <v>-163.65</v>
      </c>
      <c r="G61" s="8" t="n">
        <v>7.93</v>
      </c>
      <c r="H61" s="8" t="n">
        <v>-260.49</v>
      </c>
      <c r="J61" s="8" t="n">
        <v>52.9</v>
      </c>
      <c r="K61" s="8" t="n">
        <v>-479.14</v>
      </c>
    </row>
    <row r="62">
      <c r="A62" s="8" t="n">
        <v>29.74</v>
      </c>
      <c r="B62" s="8" t="n">
        <v>-397.02</v>
      </c>
      <c r="D62" s="8" t="n">
        <v>10.5</v>
      </c>
      <c r="E62" s="8" t="n">
        <v>-174.78</v>
      </c>
      <c r="G62" s="8" t="n">
        <v>21.49</v>
      </c>
      <c r="H62" s="8" t="n">
        <v>-333.99</v>
      </c>
      <c r="J62" s="8" t="n">
        <v>33.98</v>
      </c>
      <c r="K62" s="8" t="n">
        <v>-507.36</v>
      </c>
    </row>
    <row r="63">
      <c r="A63" s="8" t="n">
        <v>13.5</v>
      </c>
      <c r="B63" s="8" t="n">
        <v>-418.09</v>
      </c>
      <c r="D63" s="8" t="n">
        <v>5.36</v>
      </c>
      <c r="E63" s="8" t="n">
        <v>-185.91</v>
      </c>
      <c r="G63" s="8" t="n">
        <v>0</v>
      </c>
      <c r="H63" s="8" t="n">
        <v>-341.28</v>
      </c>
      <c r="J63" s="8" t="n">
        <v>14.25</v>
      </c>
      <c r="K63" s="8" t="n">
        <v>-535.5700000000001</v>
      </c>
    </row>
    <row r="64">
      <c r="A64" s="8" t="n">
        <v>0</v>
      </c>
      <c r="B64" s="8" t="n">
        <v>-432</v>
      </c>
      <c r="D64" s="8" t="n">
        <v>0</v>
      </c>
      <c r="E64" s="8" t="n">
        <v>-194.4</v>
      </c>
      <c r="J64" s="8" t="n">
        <v>0</v>
      </c>
      <c r="K64" s="8" t="n">
        <v>-548.64</v>
      </c>
    </row>
    <row r="65">
      <c r="G65" s="13" t="inlineStr">
        <is>
          <t>DEMAND POINT</t>
        </is>
      </c>
      <c r="H65" s="14" t="n"/>
    </row>
    <row r="66">
      <c r="A66" s="13" t="inlineStr">
        <is>
          <t>DEMAND POINT</t>
        </is>
      </c>
      <c r="B66" s="14" t="n"/>
      <c r="D66" s="13" t="inlineStr">
        <is>
          <t>DEMAND POINT</t>
        </is>
      </c>
      <c r="E66" s="14" t="n"/>
      <c r="G66" s="13" t="n">
        <v>75</v>
      </c>
      <c r="H66" s="13" t="n">
        <v>600</v>
      </c>
      <c r="J66" s="13" t="inlineStr">
        <is>
          <t>DEMAND POINT</t>
        </is>
      </c>
      <c r="K66" s="14" t="n"/>
    </row>
    <row r="67">
      <c r="A67" s="13" t="n">
        <v>100</v>
      </c>
      <c r="B67" s="13" t="n">
        <v>450</v>
      </c>
      <c r="D67" s="13" t="n">
        <v>244.85</v>
      </c>
      <c r="E67" s="13" t="n">
        <v>180</v>
      </c>
      <c r="J67" s="13" t="n">
        <v>0</v>
      </c>
      <c r="K67" s="13" t="n">
        <v>900</v>
      </c>
    </row>
  </sheetData>
  <mergeCells count="9">
    <mergeCell ref="A2:B2"/>
    <mergeCell ref="D2:E2"/>
    <mergeCell ref="G2:H2"/>
    <mergeCell ref="J2:K2"/>
    <mergeCell ref="A1:I1"/>
    <mergeCell ref="A66:B66"/>
    <mergeCell ref="G65:H65"/>
    <mergeCell ref="D66:E66"/>
    <mergeCell ref="J66:K6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2026-03-25T18:52:34Z</dcterms:created>
  <dcterms:modified xsi:type="dcterms:W3CDTF">2026-03-25T18:52:34Z</dcterms:modified>
</cp:coreProperties>
</file>